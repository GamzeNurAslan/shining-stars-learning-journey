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CF312DDB-FEAB-4C26-8D7B-A5B3754717D2}" xr6:coauthVersionLast="47" xr6:coauthVersionMax="47" xr10:uidLastSave="{00000000-0000-0000-0000-000000000000}"/>
  <bookViews>
    <workbookView xWindow="240" yWindow="105" windowWidth="14805" windowHeight="8010" firstSheet="2" activeTab="5" xr2:uid="{00000000-000D-0000-FFFF-FFFF00000000}"/>
  </bookViews>
  <sheets>
    <sheet name="FactTransactions" sheetId="1" r:id="rId1"/>
    <sheet name="FactAccountSnapshot" sheetId="2" r:id="rId2"/>
    <sheet name="FactLoanPayments" sheetId="3" r:id="rId3"/>
    <sheet name="FactLoanPortfolio" sheetId="4" r:id="rId4"/>
    <sheet name="DimDate" sheetId="5" r:id="rId5"/>
    <sheet name="DimCustomer" sheetId="6" r:id="rId6"/>
    <sheet name="DimAccount" sheetId="7" r:id="rId7"/>
    <sheet name="DimFinancialProduct" sheetId="8" r:id="rId8"/>
    <sheet name="DimBranch" sheetId="9" r:id="rId9"/>
    <sheet name="DimChannel" sheetId="10" r:id="rId10"/>
    <sheet name="DimCurrency" sheetId="11" r:id="rId11"/>
    <sheet name="DimTransactionType" sheetId="12" r:id="rId12"/>
    <sheet name="DimLoan" sheetId="13" r:id="rId13"/>
    <sheet name="DimRiskGrade" sheetId="14" r:id="rId14"/>
  </sheets>
  <definedNames>
    <definedName name="DimCustomer">DimCustomer!$A$1:$J$11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2" i="9" l="1"/>
  <c r="A3" i="9"/>
  <c r="A4" i="9"/>
  <c r="A5" i="9"/>
  <c r="A6" i="9"/>
  <c r="A7" i="9"/>
  <c r="A8" i="9"/>
  <c r="A9" i="9"/>
</calcChain>
</file>

<file path=xl/sharedStrings.xml><?xml version="1.0" encoding="utf-8"?>
<sst xmlns="http://schemas.openxmlformats.org/spreadsheetml/2006/main" count="653" uniqueCount="335">
  <si>
    <t>TransactionKey</t>
  </si>
  <si>
    <t>TransactionID</t>
  </si>
  <si>
    <t>DateKey</t>
  </si>
  <si>
    <t>CustomerKey</t>
  </si>
  <si>
    <t>AccountKey</t>
  </si>
  <si>
    <t>BranchKey</t>
  </si>
  <si>
    <t>ChannelKey</t>
  </si>
  <si>
    <t>TransactionTypeKey</t>
  </si>
  <si>
    <t>CurrencyKey</t>
  </si>
  <si>
    <t>TransactionAmount</t>
  </si>
  <si>
    <t>ExchangeRateToTRY</t>
  </si>
  <si>
    <t>TransactionAmountTRY</t>
  </si>
  <si>
    <t>FeeAmountTRY</t>
  </si>
  <si>
    <t>TaxAmountTRY</t>
  </si>
  <si>
    <t>NetCashFlowTRY</t>
  </si>
  <si>
    <t>BalanceBeforeTRY</t>
  </si>
  <si>
    <t>BalanceAfterTRY</t>
  </si>
  <si>
    <t>TransactionStatus</t>
  </si>
  <si>
    <t>TransactionCount</t>
  </si>
  <si>
    <t>TXN0001</t>
  </si>
  <si>
    <t>Tamamlandı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</si>
  <si>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</si>
  <si>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</si>
  <si>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</si>
  <si>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</si>
  <si>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</si>
  <si>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</si>
  <si>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</si>
  <si>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</si>
  <si>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</si>
  <si>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</si>
  <si>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</si>
  <si>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SnapshotKey</t>
  </si>
  <si>
    <t>ClosingBalanceTRY</t>
  </si>
  <si>
    <t>AvailableBalanceTRY</t>
  </si>
  <si>
    <t>BlockedAmountTRY</t>
  </si>
  <si>
    <t>OverdraftUsedTRY</t>
  </si>
  <si>
    <t>AccruedInterestTRY</t>
  </si>
  <si>
    <t>SnapshotCount</t>
  </si>
  <si>
    <t>LoanPaymentKey</t>
  </si>
  <si>
    <t>PaymentID</t>
  </si>
  <si>
    <t>DueDateKey</t>
  </si>
  <si>
    <t>LoanKey</t>
  </si>
  <si>
    <t>ProductKey</t>
  </si>
  <si>
    <t>ScheduledPaymentTRY</t>
  </si>
  <si>
    <t>PrincipalPaidTRY</t>
  </si>
  <si>
    <t>InterestPaidTRY</t>
  </si>
  <si>
    <t>LateFeeTRY</t>
  </si>
  <si>
    <t>TotalPaidTRY</t>
  </si>
  <si>
    <t>DaysPastDue</t>
  </si>
  <si>
    <t>PaymentStatus</t>
  </si>
  <si>
    <t>PaymentCount</t>
  </si>
  <si>
    <t>PAY0001</t>
  </si>
  <si>
    <t>Zamanında</t>
  </si>
  <si>
    <t>PAY0002</t>
  </si>
  <si>
    <t>Gecikmeli</t>
  </si>
  <si>
    <t>PAY0003</t>
  </si>
  <si>
    <t>PAY0004</t>
  </si>
  <si>
    <t>PAY0005</t>
  </si>
  <si>
    <t>PAY0006</t>
  </si>
  <si>
    <t>PAY0007</t>
  </si>
  <si>
    <t>PAY0008</t>
  </si>
  <si>
    <t>Eksik Ödeme</t>
  </si>
  <si>
    <t>LoanPortfolioKey</t>
  </si>
  <si>
    <t>RiskGradeKey</t>
  </si>
  <si>
    <t>OutstandingPrincipalTRY</t>
  </si>
  <si>
    <t>OverdueAmountTRY</t>
  </si>
  <si>
    <t>ProvisionAmountTRY</t>
  </si>
  <si>
    <t>CreditExposureTRY</t>
  </si>
  <si>
    <t>IsDefaulted</t>
  </si>
  <si>
    <t>PortfolioCount</t>
  </si>
  <si>
    <t>Hayır</t>
  </si>
  <si>
    <t>Evet</t>
  </si>
  <si>
    <t>FullDate</t>
  </si>
  <si>
    <t>Day</t>
  </si>
  <si>
    <t>DayName</t>
  </si>
  <si>
    <t>WeekNo</t>
  </si>
  <si>
    <t>MonthNo</t>
  </si>
  <si>
    <t>MonthName</t>
  </si>
  <si>
    <t>Quarter</t>
  </si>
  <si>
    <t>Year</t>
  </si>
  <si>
    <t>IsWeekend</t>
  </si>
  <si>
    <t>Perşembe</t>
  </si>
  <si>
    <t>Ocak</t>
  </si>
  <si>
    <t>Q1</t>
  </si>
  <si>
    <t>Cuma</t>
  </si>
  <si>
    <t>Cumartesi</t>
  </si>
  <si>
    <t>Pazar</t>
  </si>
  <si>
    <t>Pazartesi</t>
  </si>
  <si>
    <t>CustomerID</t>
  </si>
  <si>
    <t>CustomerType</t>
  </si>
  <si>
    <t>CustomerSegment</t>
  </si>
  <si>
    <t>City</t>
  </si>
  <si>
    <t>Region</t>
  </si>
  <si>
    <t>IncomeBand</t>
  </si>
  <si>
    <t>RiskProfile</t>
  </si>
  <si>
    <t>CustomerSince</t>
  </si>
  <si>
    <t>IsActive</t>
  </si>
  <si>
    <t>CUST0001</t>
  </si>
  <si>
    <t>Bireysel</t>
  </si>
  <si>
    <t>Mass</t>
  </si>
  <si>
    <t>İstanbul</t>
  </si>
  <si>
    <t>Marmara</t>
  </si>
  <si>
    <t>25K-50K</t>
  </si>
  <si>
    <t>Düşük</t>
  </si>
  <si>
    <t>CUST0002</t>
  </si>
  <si>
    <t>Affluent</t>
  </si>
  <si>
    <t>Ankara</t>
  </si>
  <si>
    <t>İç Anadolu</t>
  </si>
  <si>
    <t>75K+</t>
  </si>
  <si>
    <t>CUST0003</t>
  </si>
  <si>
    <t>Ticari</t>
  </si>
  <si>
    <t>SME</t>
  </si>
  <si>
    <t>İzmir</t>
  </si>
  <si>
    <t>Ege</t>
  </si>
  <si>
    <t>100K+</t>
  </si>
  <si>
    <t>Orta</t>
  </si>
  <si>
    <t>CUST0004</t>
  </si>
  <si>
    <t>Bursa</t>
  </si>
  <si>
    <t>CUST0005</t>
  </si>
  <si>
    <t>Corporate</t>
  </si>
  <si>
    <t>CUST0006</t>
  </si>
  <si>
    <t>Young</t>
  </si>
  <si>
    <t>Eskişehir</t>
  </si>
  <si>
    <t>0-25K</t>
  </si>
  <si>
    <t>CUST0007</t>
  </si>
  <si>
    <t>Antalya</t>
  </si>
  <si>
    <t>Akdeniz</t>
  </si>
  <si>
    <t>CUST0008</t>
  </si>
  <si>
    <t>Konya</t>
  </si>
  <si>
    <t>50K-100K</t>
  </si>
  <si>
    <t>Yüksek</t>
  </si>
  <si>
    <t>CUST0009</t>
  </si>
  <si>
    <t>Adana</t>
  </si>
  <si>
    <t>CUST0010</t>
  </si>
  <si>
    <t>AccountID</t>
  </si>
  <si>
    <t>AccountType</t>
  </si>
  <si>
    <t>CurrencyCode</t>
  </si>
  <si>
    <t>OpenDate</t>
  </si>
  <si>
    <t>AccountStatus</t>
  </si>
  <si>
    <t>OverdraftLimit</t>
  </si>
  <si>
    <t>ACC0001</t>
  </si>
  <si>
    <t>Vadesiz</t>
  </si>
  <si>
    <t>TRY</t>
  </si>
  <si>
    <t>Aktif</t>
  </si>
  <si>
    <t>ACC0002</t>
  </si>
  <si>
    <t>Vadeli</t>
  </si>
  <si>
    <t>ACC0003</t>
  </si>
  <si>
    <t>USD</t>
  </si>
  <si>
    <t>ACC0004</t>
  </si>
  <si>
    <t>Ticari Vadesiz</t>
  </si>
  <si>
    <t>ACC0005</t>
  </si>
  <si>
    <t>ACC0006</t>
  </si>
  <si>
    <t>EUR</t>
  </si>
  <si>
    <t>ACC0007</t>
  </si>
  <si>
    <t>ACC0008</t>
  </si>
  <si>
    <t>ACC0009</t>
  </si>
  <si>
    <t>ACC0010</t>
  </si>
  <si>
    <t>Pasif</t>
  </si>
  <si>
    <t>ProductCode</t>
  </si>
  <si>
    <t>ProductName</t>
  </si>
  <si>
    <t>ProductCategory</t>
  </si>
  <si>
    <t>ProductSubcategory</t>
  </si>
  <si>
    <t>InterestType</t>
  </si>
  <si>
    <t>RiskLevel</t>
  </si>
  <si>
    <t>PRD001</t>
  </si>
  <si>
    <t>Standart Vadesiz Hesap</t>
  </si>
  <si>
    <t>Mevduat</t>
  </si>
  <si>
    <t>Yok</t>
  </si>
  <si>
    <t>PRD002</t>
  </si>
  <si>
    <t>Vadeli TL Mevduat</t>
  </si>
  <si>
    <t>Sabit</t>
  </si>
  <si>
    <t>PRD003</t>
  </si>
  <si>
    <t>Döviz Hesabı</t>
  </si>
  <si>
    <t>PRD004</t>
  </si>
  <si>
    <t>İhtiyaç Kredisi</t>
  </si>
  <si>
    <t>Kredi</t>
  </si>
  <si>
    <t>Bireysel Kredi</t>
  </si>
  <si>
    <t>PRD005</t>
  </si>
  <si>
    <t>Taşıt Kredisi</t>
  </si>
  <si>
    <t>PRD006</t>
  </si>
  <si>
    <t>Konut Kredisi</t>
  </si>
  <si>
    <t>Mortgage</t>
  </si>
  <si>
    <t>PRD007</t>
  </si>
  <si>
    <t>Ticari İşletme Kredisi</t>
  </si>
  <si>
    <t>Ticari Kredi</t>
  </si>
  <si>
    <t>Değişken</t>
  </si>
  <si>
    <t>PRD008</t>
  </si>
  <si>
    <t>Classic Kredi Kartı</t>
  </si>
  <si>
    <t>Kart</t>
  </si>
  <si>
    <t>Kredi Kartı</t>
  </si>
  <si>
    <t>PRD009</t>
  </si>
  <si>
    <t>Platinum Kredi Kartı</t>
  </si>
  <si>
    <t>PRD010</t>
  </si>
  <si>
    <t>Yatırım Hesabı</t>
  </si>
  <si>
    <t>Yatırım</t>
  </si>
  <si>
    <t>Menkul Kıymet</t>
  </si>
  <si>
    <t>BranchCode</t>
  </si>
  <si>
    <t>BranchName</t>
  </si>
  <si>
    <t>BranchType</t>
  </si>
  <si>
    <t>BR001</t>
  </si>
  <si>
    <t>İstanbul Levent Şubesi</t>
  </si>
  <si>
    <t>BR002</t>
  </si>
  <si>
    <t>İstanbul Kadıköy Şubesi</t>
  </si>
  <si>
    <t>BR003</t>
  </si>
  <si>
    <t>Ankara Çankaya Şubesi</t>
  </si>
  <si>
    <t>Karma</t>
  </si>
  <si>
    <t>BR004</t>
  </si>
  <si>
    <t>İzmir Alsancak Şubesi</t>
  </si>
  <si>
    <t>BR005</t>
  </si>
  <si>
    <t>Bursa Nilüfer Şubesi</t>
  </si>
  <si>
    <t>BR006</t>
  </si>
  <si>
    <t>Antalya Lara Şubesi</t>
  </si>
  <si>
    <t>BR007</t>
  </si>
  <si>
    <t>Konya Merkez Şubesi</t>
  </si>
  <si>
    <t>BR008</t>
  </si>
  <si>
    <t>Adana Seyhan Şubesi</t>
  </si>
  <si>
    <t>BR009</t>
  </si>
  <si>
    <t>Şube Dışı / Dijital</t>
  </si>
  <si>
    <t>-</t>
  </si>
  <si>
    <t>Dijital</t>
  </si>
  <si>
    <t>ChannelCode</t>
  </si>
  <si>
    <t>ChannelName</t>
  </si>
  <si>
    <t>ChannelGroup</t>
  </si>
  <si>
    <t>IsDigital</t>
  </si>
  <si>
    <t>CH001</t>
  </si>
  <si>
    <t>Mobil Bankacılık</t>
  </si>
  <si>
    <t>CH002</t>
  </si>
  <si>
    <t>İnternet Bankacılığı</t>
  </si>
  <si>
    <t>CH003</t>
  </si>
  <si>
    <t>ATM</t>
  </si>
  <si>
    <t>Self Servis</t>
  </si>
  <si>
    <t>CH004</t>
  </si>
  <si>
    <t>Şube</t>
  </si>
  <si>
    <t>Fiziksel</t>
  </si>
  <si>
    <t>CH005</t>
  </si>
  <si>
    <t>POS</t>
  </si>
  <si>
    <t>Ödeme</t>
  </si>
  <si>
    <t>CH006</t>
  </si>
  <si>
    <t>Çağrı Merkezi</t>
  </si>
  <si>
    <t>Uzaktan Hizmet</t>
  </si>
  <si>
    <t>CH007</t>
  </si>
  <si>
    <t>API / Open Banking</t>
  </si>
  <si>
    <t>CurrencyName</t>
  </si>
  <si>
    <t>CurrencySymbol</t>
  </si>
  <si>
    <t>CurrencyType</t>
  </si>
  <si>
    <t>IsLocalCurrency</t>
  </si>
  <si>
    <t>Türk Lirası</t>
  </si>
  <si>
    <t>₺</t>
  </si>
  <si>
    <t>Fiat</t>
  </si>
  <si>
    <t>ABD Doları</t>
  </si>
  <si>
    <t>$</t>
  </si>
  <si>
    <t>Euro</t>
  </si>
  <si>
    <t>€</t>
  </si>
  <si>
    <t>GBP</t>
  </si>
  <si>
    <t>İngiliz Sterlini</t>
  </si>
  <si>
    <t>£</t>
  </si>
  <si>
    <t>CHF</t>
  </si>
  <si>
    <t>İsviçre Frangı</t>
  </si>
  <si>
    <t>XAU</t>
  </si>
  <si>
    <t>Altın</t>
  </si>
  <si>
    <t>Kıymetli Maden</t>
  </si>
  <si>
    <t>TransactionCode</t>
  </si>
  <si>
    <t>TransactionName</t>
  </si>
  <si>
    <t>TransactionGroup</t>
  </si>
  <si>
    <t>Direction</t>
  </si>
  <si>
    <t>FeeApplicable</t>
  </si>
  <si>
    <t>TR001</t>
  </si>
  <si>
    <t>Havale</t>
  </si>
  <si>
    <t>Para Transferi</t>
  </si>
  <si>
    <t>Çıkış</t>
  </si>
  <si>
    <t>TR002</t>
  </si>
  <si>
    <t>EFT</t>
  </si>
  <si>
    <t>TR003</t>
  </si>
  <si>
    <t>FAST</t>
  </si>
  <si>
    <t>TR004</t>
  </si>
  <si>
    <t>Gelen Transfer</t>
  </si>
  <si>
    <t>Giriş</t>
  </si>
  <si>
    <t>TR005</t>
  </si>
  <si>
    <t>ATM Para Çekme</t>
  </si>
  <si>
    <t>Nakit İşlem</t>
  </si>
  <si>
    <t>TR006</t>
  </si>
  <si>
    <t>ATM Para Yatırma</t>
  </si>
  <si>
    <t>TR007</t>
  </si>
  <si>
    <t>Kartla Alışveriş</t>
  </si>
  <si>
    <t>Kart İşlemi</t>
  </si>
  <si>
    <t>TR008</t>
  </si>
  <si>
    <t>Fatura Ödeme</t>
  </si>
  <si>
    <t>TR009</t>
  </si>
  <si>
    <t>Kredi Taksit Ödeme</t>
  </si>
  <si>
    <t>TR010</t>
  </si>
  <si>
    <t>Faiz Geliri</t>
  </si>
  <si>
    <t>TR011</t>
  </si>
  <si>
    <t>Komisyon Tahsilatı</t>
  </si>
  <si>
    <t>Ücret &amp; Komisyon</t>
  </si>
  <si>
    <t>TR012</t>
  </si>
  <si>
    <t>Kredi Kullanımı</t>
  </si>
  <si>
    <t>LoanID</t>
  </si>
  <si>
    <t>LoanType</t>
  </si>
  <si>
    <t>StartDate</t>
  </si>
  <si>
    <t>MaturityDate</t>
  </si>
  <si>
    <t>OriginalPrincipal</t>
  </si>
  <si>
    <t>InterestRate</t>
  </si>
  <si>
    <t>TermMonths</t>
  </si>
  <si>
    <t>LoanStatus</t>
  </si>
  <si>
    <t>LN0001</t>
  </si>
  <si>
    <t>LN0002</t>
  </si>
  <si>
    <t>LN0003</t>
  </si>
  <si>
    <t>LN0004</t>
  </si>
  <si>
    <t>LN0005</t>
  </si>
  <si>
    <t>LN0006</t>
  </si>
  <si>
    <t>Kapandı</t>
  </si>
  <si>
    <t>LN0007</t>
  </si>
  <si>
    <t>LN0008</t>
  </si>
  <si>
    <t>Gecikmede</t>
  </si>
  <si>
    <t>RiskCode</t>
  </si>
  <si>
    <t>PDMin</t>
  </si>
  <si>
    <t>PDMax</t>
  </si>
  <si>
    <t>RiskDescription</t>
  </si>
  <si>
    <t>MonitoringLevel</t>
  </si>
  <si>
    <t>A</t>
  </si>
  <si>
    <t>Çok Düşük</t>
  </si>
  <si>
    <t>Güçlü ödeme kapasitesi, çok düşük temerrüt riski</t>
  </si>
  <si>
    <t>Standart</t>
  </si>
  <si>
    <t>B</t>
  </si>
  <si>
    <t>İyi ödeme kapasitesi, düşük risk</t>
  </si>
  <si>
    <t>C</t>
  </si>
  <si>
    <t>Orta seviyede kredi riski</t>
  </si>
  <si>
    <t>Yakın İzleme</t>
  </si>
  <si>
    <t>D</t>
  </si>
  <si>
    <t>Ödeme performansında bozulma riski</t>
  </si>
  <si>
    <t>E</t>
  </si>
  <si>
    <t>Çok Yüksek</t>
  </si>
  <si>
    <t>Yüksek temerrüt riski / problemli kredi</t>
  </si>
  <si>
    <t>Kritik İzleme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</si>
</sst>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0" fillId="0" borderId="0" xfId="0" applyFont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8E5B075-8C76-4955-BA86-FD350A51AE30}" name="FactTransactions" displayName="FactTransactions" ref="A1:S13" totalsRowShown="0" headerRowDxfId="18">
  <autoFilter ref="A1:S13" xr:uid="{78E5B075-8C76-4955-BA86-FD350A51AE30}"/>
  <tableColumns count="19">
    <tableColumn id="1" xr3:uid="{BA8A2F0B-5F52-4C01-8D01-0448E78CA959}" name="TransactionKey"/>
    <tableColumn id="2" xr3:uid="{C341294D-33DD-4C6F-87AD-DF0CF7B13E1F}" name="TransactionID"/>
    <tableColumn id="3" xr3:uid="{98A6AFA0-1191-424E-899C-EEC5B4A63300}" name="DateKey"/>
    <tableColumn id="4" xr3:uid="{C5231407-9742-485B-B87B-8E05A17F3979}" name="CustomerKey"/>
    <tableColumn id="5" xr3:uid="{4A8A6562-EE0C-432F-B1D5-726B67900BF7}" name="AccountKey"/>
    <tableColumn id="6" xr3:uid="{B0F124FB-435A-4456-90B6-A73B9CDDF525}" name="BranchKey"/>
    <tableColumn id="7" xr3:uid="{70F32B08-47AC-4198-A43E-44D480A8771B}" name="ChannelKey"/>
    <tableColumn id="8" xr3:uid="{4AED06B6-5217-43E0-AECD-CE5009BCC497}" name="TransactionTypeKey"/>
    <tableColumn id="9" xr3:uid="{DCB5D794-BB56-4349-B13C-B43971B39902}" name="CurrencyKey"/>
    <tableColumn id="10" xr3:uid="{1DB441C1-89C7-40F4-8EAF-F890136FF209}" name="TransactionAmount"/>
    <tableColumn id="11" xr3:uid="{4655C0BE-4F47-4AC2-ABCF-2CDC5CB8305B}" name="ExchangeRateToTRY"/>
    <tableColumn id="12" xr3:uid="{DF2B8CD6-A027-4C59-BCCE-4B6130CFA93D}" name="TransactionAmountTRY"/>
    <tableColumn id="13" xr3:uid="{2F615062-5296-4D26-BC69-3E9F87B01043}" name="FeeAmountTRY"/>
    <tableColumn id="14" xr3:uid="{DEDCA9F8-08D2-4ED9-B2A2-79D1B9219607}" name="TaxAmountTRY"/>
    <tableColumn id="15" xr3:uid="{A5AC9D92-8E9B-4CCD-A9E0-4CD3CD24BF7B}" name="NetCashFlowTRY"/>
    <tableColumn id="16" xr3:uid="{BD79EF8B-79C4-4A7F-B1B1-D775BEF1BD53}" name="BalanceBeforeTRY"/>
    <tableColumn id="17" xr3:uid="{977ABD0F-5614-40C3-B225-ECC940CD3B36}" name="BalanceAfterTRY"/>
    <tableColumn id="18" xr3:uid="{478807BE-01D9-47BB-8452-99ACF59D66E5}" name="TransactionStatus"/>
    <tableColumn id="19" xr3:uid="{CACBB81D-C4F1-4095-B9F8-816E39A519A6}" name="Transaction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3E25E32-5B55-4610-BD1C-873E869EFFE3}" name="FactAccountSnapshot" displayName="FactAccountSnapshot" ref="A1:K13" totalsRowShown="0" headerRowDxfId="17">
  <autoFilter ref="A1:K13" xr:uid="{A3E25E32-5B55-4610-BD1C-873E869EFFE3}"/>
  <tableColumns count="11">
    <tableColumn id="1" xr3:uid="{586BFC58-773A-476A-845A-D3396EAB4A30}" name="SnapshotKey"/>
    <tableColumn id="2" xr3:uid="{73EB7401-FA62-4F35-B99F-601A67B4F0A3}" name="DateKey"/>
    <tableColumn id="3" xr3:uid="{0568B4B0-34DC-4920-83DA-D4D1C0E44CAB}" name="CustomerKey"/>
    <tableColumn id="4" xr3:uid="{237A0775-336B-453E-B8BE-6A797675FCF5}" name="AccountKey"/>
    <tableColumn id="5" xr3:uid="{2E1661A2-91F3-488C-9846-FA34158CAE1E}" name="CurrencyKey"/>
    <tableColumn id="6" xr3:uid="{D22EB1FA-DD25-4666-AF2F-696281625568}" name="ClosingBalanceTRY"/>
    <tableColumn id="7" xr3:uid="{C0236628-743E-4D9E-95E4-1CB223BF4D19}" name="AvailableBalanceTRY"/>
    <tableColumn id="8" xr3:uid="{54F4C459-71D1-44A1-9F3A-453AB573AECD}" name="BlockedAmountTRY"/>
    <tableColumn id="9" xr3:uid="{B7CEE433-405B-4CE0-A7ED-FE460D217CFB}" name="OverdraftUsedTRY"/>
    <tableColumn id="10" xr3:uid="{9986A940-3611-436A-8A74-EC3884A1B507}" name="AccruedInterestTRY"/>
    <tableColumn id="11" xr3:uid="{2C2F006D-122C-4E42-A65B-DC8B38097A9D}" name="Snapshot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23B63DC-26DE-4A02-B62A-855A167629C5}" name="FactLoanPayments" displayName="FactLoanPayments" ref="A1:Q9" totalsRowShown="0" headerRowDxfId="16">
  <autoFilter ref="A1:Q9" xr:uid="{E23B63DC-26DE-4A02-B62A-855A167629C5}"/>
  <tableColumns count="17">
    <tableColumn id="1" xr3:uid="{0138CB91-01D1-4895-AE1D-254573441E31}" name="LoanPaymentKey"/>
    <tableColumn id="2" xr3:uid="{003AB754-8715-44D8-B646-82E827343076}" name="PaymentID"/>
    <tableColumn id="3" xr3:uid="{507D6E1B-DC34-4399-8442-9F13A71FE6C0}" name="DateKey"/>
    <tableColumn id="4" xr3:uid="{8D91B77B-8C3E-4AD0-8B2D-80518A7701A1}" name="DueDateKey"/>
    <tableColumn id="5" xr3:uid="{E5BB6D5E-3E69-4840-889D-15CDB88C2786}" name="CustomerKey"/>
    <tableColumn id="6" xr3:uid="{BBE8B1AA-EF18-4085-BB6F-5D2CA312DCF6}" name="LoanKey"/>
    <tableColumn id="7" xr3:uid="{50DB0525-E101-463C-A292-72B7F02D2D86}" name="ProductKey"/>
    <tableColumn id="8" xr3:uid="{B51E2A56-2AD2-457A-A102-30899CFC938E}" name="BranchKey"/>
    <tableColumn id="9" xr3:uid="{E57A461A-020E-4D83-91A5-116D30B40B02}" name="ChannelKey"/>
    <tableColumn id="10" xr3:uid="{57BD3A58-8A5E-43DB-AA85-B8D98BFF4158}" name="ScheduledPaymentTRY"/>
    <tableColumn id="11" xr3:uid="{6423860D-2095-4C38-A027-034D31EC16E0}" name="PrincipalPaidTRY"/>
    <tableColumn id="12" xr3:uid="{851B2877-17B2-4DCE-9E97-1533ABA91537}" name="InterestPaidTRY"/>
    <tableColumn id="13" xr3:uid="{99ADDA0F-9DA8-4C20-81FC-2A8C31A7FFE9}" name="LateFeeTRY"/>
    <tableColumn id="14" xr3:uid="{14CFBE76-758C-42E0-AEE6-D694AE4F0EF0}" name="TotalPaidTRY"/>
    <tableColumn id="15" xr3:uid="{F8EED78D-4BB8-47B9-BC80-ECB2DF40129F}" name="DaysPastDue"/>
    <tableColumn id="16" xr3:uid="{0A1FC635-3304-4612-AE74-D63A2435479A}" name="PaymentStatus"/>
    <tableColumn id="17" xr3:uid="{6FD3B9FA-5D74-42C5-8AF9-DAEB12E55CAA}" name="Payment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8E1C7B5-FA9C-4FFE-A627-9080EA7D0DBB}" name="FactLoanPortfolio" displayName="FactLoanPortfolio" ref="A1:O9" totalsRowShown="0" headerRowDxfId="15">
  <autoFilter ref="A1:O9" xr:uid="{28E1C7B5-FA9C-4FFE-A627-9080EA7D0DBB}"/>
  <tableColumns count="15">
    <tableColumn id="1" xr3:uid="{F0E94425-F2B0-4EAA-9F66-C00205B4B0BB}" name="LoanPortfolioKey"/>
    <tableColumn id="2" xr3:uid="{F92C5010-6ECC-4074-BCC8-D500ECE22C1B}" name="DateKey"/>
    <tableColumn id="3" xr3:uid="{BF028FC4-1EBE-49F5-A29C-19E28B8C73B6}" name="CustomerKey"/>
    <tableColumn id="4" xr3:uid="{582F3A49-A320-41FB-9F08-991C8545A736}" name="LoanKey"/>
    <tableColumn id="5" xr3:uid="{7DACD491-559E-44BD-B0FF-B2B039246CC7}" name="ProductKey"/>
    <tableColumn id="6" xr3:uid="{6FE2D7B0-FDB0-4545-9E00-0BBB852BEC38}" name="BranchKey"/>
    <tableColumn id="7" xr3:uid="{DDCBCE2B-798B-4470-95DD-60353380F58D}" name="RiskGradeKey"/>
    <tableColumn id="8" xr3:uid="{16C55FB6-04C1-46A4-93FE-2DEC84CEB7CC}" name="OutstandingPrincipalTRY"/>
    <tableColumn id="9" xr3:uid="{B7AFC1AC-422B-4A16-9AA9-905928329B63}" name="AccruedInterestTRY"/>
    <tableColumn id="10" xr3:uid="{75779DDB-B6C1-4A84-AD11-6CF92A3F7858}" name="OverdueAmountTRY"/>
    <tableColumn id="11" xr3:uid="{293C0008-4813-4A44-B98B-5765246B206E}" name="DaysPastDue"/>
    <tableColumn id="12" xr3:uid="{5B725490-9BA4-45A7-97FA-1311AA7AA5CB}" name="ProvisionAmountTRY"/>
    <tableColumn id="13" xr3:uid="{C0A801F0-3574-4F9A-A8CB-5EE7445F4DFC}" name="CreditExposureTRY"/>
    <tableColumn id="14" xr3:uid="{DDF4F08B-544E-49CF-826C-E5096BFB032F}" name="IsDefaulted"/>
    <tableColumn id="15" xr3:uid="{B3B2D33B-54DF-4D29-B3B3-D5DD6B324D1B}" name="Portfolio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589638-67B4-4ABD-832F-78FEDD94D223}" name="DimDate" displayName="DimDate" ref="A1:J6" totalsRowShown="0" headerRowDxfId="14">
  <autoFilter ref="A1:J6" xr:uid="{05589638-67B4-4ABD-832F-78FEDD94D223}"/>
  <tableColumns count="10">
    <tableColumn id="1" xr3:uid="{7F8A6D49-9055-4835-9C2B-7904CFF2557E}" name="DateKey"/>
    <tableColumn id="2" xr3:uid="{FE1FA760-9BCA-48B4-80CA-56E0D2D29BAC}" name="FullDate" dataDxfId="13"/>
    <tableColumn id="3" xr3:uid="{3EE7E200-6DCB-48AD-90AD-DC3AD8BBBDD0}" name="Day"/>
    <tableColumn id="4" xr3:uid="{E2827AD1-5747-421F-B532-4A44146E96C7}" name="DayName"/>
    <tableColumn id="5" xr3:uid="{9EBFA20B-0F5C-4F6A-8708-AD2CC13816E8}" name="WeekNo"/>
    <tableColumn id="6" xr3:uid="{B51AB586-DA02-47CC-BCBC-C0A8EEA57A84}" name="MonthNo"/>
    <tableColumn id="7" xr3:uid="{1AABE47D-A062-4435-9CEA-73C3BCEDDE33}" name="MonthName"/>
    <tableColumn id="8" xr3:uid="{EC6022BB-DF9A-436E-BF18-2F71FD953168}" name="Quarter"/>
    <tableColumn id="9" xr3:uid="{D06777D5-C61B-4661-BC5C-DD092E61E31E}" name="Year"/>
    <tableColumn id="10" xr3:uid="{1D94E584-018D-436A-AC44-5C0F9684C261}" name="IsWeeken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C12D46-0953-41D9-8A91-F0AEF91A1E00}" name="Tablo2" displayName="Tablo2" ref="A1:J11" totalsRowShown="0" headerRowDxfId="12">
  <autoFilter ref="A1:J11" xr:uid="{24C12D46-0953-41D9-8A91-F0AEF91A1E00}"/>
  <tableColumns count="10">
    <tableColumn id="1" xr3:uid="{6D9CE19C-F1E6-4EDE-A57E-4387720AE285}" name="CustomerKey"/>
    <tableColumn id="2" xr3:uid="{55F6097D-9781-4688-A1D1-5942B425EE3B}" name="CustomerID"/>
    <tableColumn id="3" xr3:uid="{F461E23D-9CDD-4A79-B60A-D293AA4A8AC9}" name="CustomerType"/>
    <tableColumn id="4" xr3:uid="{42C3EF13-40A7-4F34-828D-EB26FC0650EA}" name="CustomerSegment"/>
    <tableColumn id="5" xr3:uid="{927F1293-5A3E-40F8-B3C3-B14569D6F6A3}" name="City"/>
    <tableColumn id="6" xr3:uid="{CA13703A-9209-42ED-8CF4-14FC8E87B400}" name="Region"/>
    <tableColumn id="7" xr3:uid="{D7976CD1-0216-42FC-94CF-4271533D2433}" name="IncomeBand"/>
    <tableColumn id="8" xr3:uid="{FA899945-DCFF-4D2B-8369-63E9FAB62843}" name="RiskProfile"/>
    <tableColumn id="9" xr3:uid="{C9852B40-525F-4EA5-9468-B1E61A31B1C3}" name="CustomerSince" dataDxfId="11"/>
    <tableColumn id="10" xr3:uid="{7804BC5D-83E4-4C74-BE49-2EF17042E0B1}" name="IsActiv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059C97-184F-4E78-AF03-57871E2C1FA7}" name="DimAccount" displayName="DimAccount" ref="A1:H11" totalsRowShown="0" headerRowDxfId="10">
  <autoFilter ref="A1:H11" xr:uid="{18059C97-184F-4E78-AF03-57871E2C1FA7}"/>
  <tableColumns count="8">
    <tableColumn id="1" xr3:uid="{B945D596-E784-47D7-A20D-D53E0A639C24}" name="AccountKey"/>
    <tableColumn id="2" xr3:uid="{C88F5347-C8C5-43C6-82B9-07EC45E5E40C}" name="AccountID"/>
    <tableColumn id="3" xr3:uid="{0FED7752-01F9-48B0-BC89-382674EABACF}" name="CustomerKey"/>
    <tableColumn id="4" xr3:uid="{60314F88-A8EE-468C-993F-E465AEAB6B60}" name="AccountType"/>
    <tableColumn id="5" xr3:uid="{4608F020-D5AC-412A-A7EF-E34151BF516F}" name="CurrencyCode"/>
    <tableColumn id="6" xr3:uid="{C5F243C1-75F3-4AA8-B41F-301DF9EC7157}" name="OpenDate" dataDxfId="9"/>
    <tableColumn id="7" xr3:uid="{8BF0DD24-1CE8-4332-9047-E0BF7D69F6EC}" name="AccountStatus"/>
    <tableColumn id="8" xr3:uid="{7488190F-E99B-4B89-969D-B1D8744C1FDC}" name="OverdraftLimi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5B6B47-5CBE-4DEC-92C2-E0DBF11B0BC4}" name="DimFinancialProduct" displayName="DimFinancialProduct" ref="A1:I11" totalsRowShown="0" headerRowDxfId="8">
  <autoFilter ref="A1:I11" xr:uid="{7D5B6B47-5CBE-4DEC-92C2-E0DBF11B0BC4}"/>
  <tableColumns count="9">
    <tableColumn id="1" xr3:uid="{7E2BB25D-4A51-47EE-AC7A-946F21A7DA86}" name="ProductKey"/>
    <tableColumn id="2" xr3:uid="{52D286D8-CE40-4D7F-9E3D-D439BB5C2365}" name="ProductCode"/>
    <tableColumn id="3" xr3:uid="{35BCC5AA-2505-4630-9C65-9AD6E92A2BBC}" name="ProductName"/>
    <tableColumn id="4" xr3:uid="{8E0D445E-CF20-4A9A-802D-E6815DBD33AB}" name="ProductCategory"/>
    <tableColumn id="5" xr3:uid="{B9351F3B-1124-4E16-A77A-E8AEE9EE6451}" name="ProductSubcategory"/>
    <tableColumn id="6" xr3:uid="{1CFB36C5-F4C4-489A-8140-F8E12880A1B9}" name="InterestType"/>
    <tableColumn id="7" xr3:uid="{8615E261-88CC-4120-AAD3-D10F8C03F716}" name="CurrencyCode"/>
    <tableColumn id="8" xr3:uid="{C3676426-DA4E-4AAC-8D5F-2379A3E5A20E}" name="RiskLevel"/>
    <tableColumn id="9" xr3:uid="{E474B3EF-F657-4F9F-8876-23A19E0610D7}" name="IsActiv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A47A0C-4C47-4763-BB2E-F39C6D6455B4}" name="DimBranch" displayName="DimBranch" ref="A1:G10" totalsRowShown="0" headerRowDxfId="7">
  <autoFilter ref="A1:G10" xr:uid="{69A47A0C-4C47-4763-BB2E-F39C6D6455B4}"/>
  <tableColumns count="7">
    <tableColumn id="1" xr3:uid="{CFE14BE1-162A-466B-82AD-A89D5A138E48}" name="BranchKey">
      <calculatedColumnFormula>_xlfn.NUMBERVALUE(RIGHT(DimBranch[[#This Row],[BranchCode]], LEN(DimBranch[[#This Row],[BranchCode]]) - 2), ",", ".")</calculatedColumnFormula>
    </tableColumn>
    <tableColumn id="2" xr3:uid="{02EDB0EE-D605-4376-A654-EC2A8E1E2B8F}" name="BranchCode"/>
    <tableColumn id="3" xr3:uid="{FC87183D-26C8-4E1C-9265-6AE2A784C956}" name="BranchName"/>
    <tableColumn id="4" xr3:uid="{E5D9F789-349F-48D4-A87D-1BF333F32E8D}" name="City"/>
    <tableColumn id="5" xr3:uid="{818948B0-B515-4928-96D3-2483CD0B2DCD}" name="Region"/>
    <tableColumn id="6" xr3:uid="{7654FC01-5849-4145-BB35-0CC375CF9F1D}" name="BranchType"/>
    <tableColumn id="7" xr3:uid="{04829590-6EA8-41A8-8D46-9B1E49E98D35}" name="IsActiv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E12BE5-C8EC-44CC-9E65-19CAD7F4CDEA}" name="DimChannel" displayName="DimChannel" ref="A1:F8" totalsRowShown="0" headerRowDxfId="6">
  <autoFilter ref="A1:F8" xr:uid="{45E12BE5-C8EC-44CC-9E65-19CAD7F4CDEA}"/>
  <tableColumns count="6">
    <tableColumn id="1" xr3:uid="{50D69DDA-FD55-4C6B-AD50-3ADA56B3EADE}" name="ChannelKey"/>
    <tableColumn id="2" xr3:uid="{DBE6F1D4-D2B6-4EB1-9EF8-E175E53827FF}" name="ChannelCode"/>
    <tableColumn id="3" xr3:uid="{71B096D4-5D25-446C-BEFC-F6774A668878}" name="ChannelName"/>
    <tableColumn id="4" xr3:uid="{033479AF-7A43-43E6-B741-C9844F4C5AAA}" name="ChannelGroup"/>
    <tableColumn id="5" xr3:uid="{022A2CBB-E78F-45CA-A2C4-45E7BF73E1FB}" name="IsDigital"/>
    <tableColumn id="6" xr3:uid="{6D054A04-E73C-488A-A143-32CC74FF3D33}" name="IsActiv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981508-7CD1-4CB7-9885-203D3DC99FEE}" name="DimCurrency" displayName="DimCurrency" ref="A1:G7" totalsRowShown="0" headerRowDxfId="5">
  <autoFilter ref="A1:G7" xr:uid="{78981508-7CD1-4CB7-9885-203D3DC99FEE}"/>
  <tableColumns count="7">
    <tableColumn id="1" xr3:uid="{B34737F6-88ED-4B5B-81E7-B43FE45FB9F5}" name="CurrencyKey"/>
    <tableColumn id="2" xr3:uid="{F38B6D8B-AEBF-4814-9A55-7347692F5FF3}" name="CurrencyCode"/>
    <tableColumn id="3" xr3:uid="{419B6DD6-21AD-4347-B90E-7479AE9E4BB8}" name="CurrencyName"/>
    <tableColumn id="4" xr3:uid="{A89FB98F-7181-4FFC-97D6-8D7C38C8C07B}" name="CurrencySymbol"/>
    <tableColumn id="5" xr3:uid="{21171BE7-95FC-4A9D-921B-0DB31FCCE5EC}" name="CurrencyType"/>
    <tableColumn id="6" xr3:uid="{FE331111-139A-482A-8C12-EBA43D2ADE01}" name="IsLocalCurrency"/>
    <tableColumn id="7" xr3:uid="{CAA0EF24-BF5D-4794-ADAB-04C20379D15A}" name="IsActiv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69C7319-F287-4797-BD8E-4B2515C6B854}" name="DimTransactionType" displayName="DimTransactionType" ref="A1:G13" totalsRowShown="0" headerRowDxfId="4">
  <autoFilter ref="A1:G13" xr:uid="{769C7319-F287-4797-BD8E-4B2515C6B854}"/>
  <tableColumns count="7">
    <tableColumn id="1" xr3:uid="{26ABB076-70FE-472A-B2D8-580BB75EB897}" name="TransactionTypeKey"/>
    <tableColumn id="2" xr3:uid="{EF198273-D76A-4B72-BAC9-77E08E08581E}" name="TransactionCode"/>
    <tableColumn id="3" xr3:uid="{C48B71EB-F49F-4DF1-9327-CED9021D4344}" name="TransactionName"/>
    <tableColumn id="4" xr3:uid="{4CFFD89C-0D50-446C-AAA4-65E04AD7EBFA}" name="TransactionGroup"/>
    <tableColumn id="5" xr3:uid="{B28C55D9-AF39-4AE2-A02A-0DA1FE953F38}" name="Direction"/>
    <tableColumn id="6" xr3:uid="{5AFF7D49-0849-4744-8CF2-A12DD8E91D02}" name="FeeApplicable"/>
    <tableColumn id="7" xr3:uid="{FC3CF120-29ED-4612-8953-4CA7B66B3E6C}" name="IsActiv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EBEE9C5-92C4-4EDC-8A8D-3A2CFBD3F930}" name="DimLoan" displayName="DimLoan" ref="A1:K9" totalsRowShown="0" headerRowDxfId="3">
  <autoFilter ref="A1:K9" xr:uid="{4EBEE9C5-92C4-4EDC-8A8D-3A2CFBD3F930}"/>
  <tableColumns count="11">
    <tableColumn id="1" xr3:uid="{D694F607-1790-470E-837D-27286E742DD7}" name="LoanKey"/>
    <tableColumn id="2" xr3:uid="{5BC22CFF-B4B1-454C-BD11-2C9BCAA3C9AA}" name="LoanID"/>
    <tableColumn id="3" xr3:uid="{A5DB8C9D-942E-4336-A242-017860B01429}" name="CustomerKey"/>
    <tableColumn id="4" xr3:uid="{65740870-E9D3-47C2-A86C-BC7968DACFC0}" name="ProductKey"/>
    <tableColumn id="5" xr3:uid="{F1F9FDC5-B289-46C9-82B8-D9B59E606BCB}" name="LoanType"/>
    <tableColumn id="6" xr3:uid="{C4F459B5-0143-4161-9E42-4C5580D9A3B6}" name="StartDate" dataDxfId="2"/>
    <tableColumn id="7" xr3:uid="{0C40A86C-1078-493B-BC15-5226AE9E7031}" name="MaturityDate" dataDxfId="1"/>
    <tableColumn id="8" xr3:uid="{B1334916-E98C-480C-A243-04E0613BD013}" name="OriginalPrincipal"/>
    <tableColumn id="9" xr3:uid="{EF934D09-2D38-4825-B190-A9FB5361FF31}" name="InterestRate"/>
    <tableColumn id="10" xr3:uid="{B32C1D0C-B412-4DD9-BA0C-C6E173177A53}" name="TermMonths"/>
    <tableColumn id="11" xr3:uid="{0243CE2A-7BB1-4AC7-ADE3-6F5E8A48A9F9}" name="LoanStatu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94B5FD-CABC-4D7E-89CA-BE08E7C59A83}" name="DimRiskGrade" displayName="DimRiskGrade" ref="A1:G6" totalsRowShown="0" headerRowDxfId="0">
  <autoFilter ref="A1:G6" xr:uid="{0E94B5FD-CABC-4D7E-89CA-BE08E7C59A83}"/>
  <tableColumns count="7">
    <tableColumn id="1" xr3:uid="{C6F2CC7B-D637-4C74-A62C-AB11D20DB38F}" name="RiskGradeKey"/>
    <tableColumn id="2" xr3:uid="{79CDA5FE-BB0C-4055-BB12-EE54594C98B4}" name="RiskCode"/>
    <tableColumn id="3" xr3:uid="{E720DFBE-F2B8-424A-A30D-5DD72365F570}" name="RiskLevel"/>
    <tableColumn id="4" xr3:uid="{7C26BA92-2D10-416B-9C89-2D952A007752}" name="PDMin"/>
    <tableColumn id="5" xr3:uid="{EB8A1AC5-F463-460E-A79D-11F06C66A4E7}" name="PDMax"/>
    <tableColumn id="6" xr3:uid="{D93E68DE-0645-4CA3-8C96-EED46A7DA18C}" name="RiskDescription"/>
    <tableColumn id="7" xr3:uid="{73F83FCE-AB74-4CB0-B8A7-BD831FFE7DED}" name="MonitoringLev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workbookViewId="0">
      <selection sqref="A1:S13"/>
    </sheetView>
  </sheetViews>
  <sheetFormatPr defaultRowHeight="15"/>
  <cols>
    <col min="1" max="1" width="19" customWidth="1"/>
    <col min="2" max="2" width="18.5703125" customWidth="1"/>
    <col min="3" max="3" width="13.140625" customWidth="1"/>
    <col min="4" max="4" width="18" customWidth="1"/>
    <col min="5" max="5" width="18.5703125" customWidth="1"/>
    <col min="6" max="6" width="19.42578125" customWidth="1"/>
    <col min="7" max="7" width="18" customWidth="1"/>
    <col min="8" max="8" width="21.7109375" bestFit="1" customWidth="1"/>
    <col min="9" max="9" width="17.85546875" customWidth="1"/>
    <col min="10" max="10" width="26" customWidth="1"/>
    <col min="11" max="11" width="26.42578125" customWidth="1"/>
    <col min="12" max="12" width="24.85546875" bestFit="1" customWidth="1"/>
    <col min="13" max="13" width="20.85546875" customWidth="1"/>
    <col min="14" max="14" width="18.85546875" customWidth="1"/>
    <col min="15" max="15" width="18.5703125" bestFit="1" customWidth="1"/>
    <col min="16" max="16" width="20" bestFit="1" customWidth="1"/>
    <col min="17" max="17" width="19.140625" customWidth="1"/>
    <col min="18" max="18" width="25.28515625" customWidth="1"/>
    <col min="19" max="19" width="19.28515625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>
        <v>20260101</v>
      </c>
      <c r="D2">
        <v>1</v>
      </c>
      <c r="E2">
        <v>1</v>
      </c>
      <c r="F2">
        <v>0</v>
      </c>
      <c r="G2">
        <v>1</v>
      </c>
      <c r="H2">
        <v>3</v>
      </c>
      <c r="I2">
        <v>1</v>
      </c>
      <c r="J2">
        <v>2500</v>
      </c>
      <c r="K2">
        <v>1</v>
      </c>
      <c r="L2">
        <v>2500</v>
      </c>
      <c r="M2">
        <v>4.43</v>
      </c>
      <c r="N2">
        <v>0.22</v>
      </c>
      <c r="O2">
        <v>-2504.65</v>
      </c>
      <c r="P2">
        <v>45000</v>
      </c>
      <c r="Q2">
        <v>42495.35</v>
      </c>
      <c r="R2" t="s">
        <v>20</v>
      </c>
      <c r="S2">
        <v>1</v>
      </c>
    </row>
    <row r="3" spans="1:19">
      <c r="A3">
        <v>2</v>
      </c>
      <c r="B3" t="s">
        <v>21</v>
      </c>
      <c r="C3">
        <v>20260101</v>
      </c>
      <c r="D3">
        <v>1</v>
      </c>
      <c r="E3">
        <v>1</v>
      </c>
      <c r="F3">
        <v>0</v>
      </c>
      <c r="G3">
        <v>1</v>
      </c>
      <c r="H3">
        <v>4</v>
      </c>
      <c r="I3">
        <v>1</v>
      </c>
      <c r="J3">
        <v>10000</v>
      </c>
      <c r="K3">
        <v>1</v>
      </c>
      <c r="L3">
        <v>10000</v>
      </c>
      <c r="M3">
        <v>0</v>
      </c>
      <c r="N3">
        <v>0</v>
      </c>
      <c r="O3">
        <v>10000</v>
      </c>
      <c r="P3">
        <v>42495.35</v>
      </c>
      <c r="Q3">
        <v>52495.35</v>
      </c>
      <c r="R3" t="s">
        <v>20</v>
      </c>
      <c r="S3">
        <v>1</v>
      </c>
    </row>
    <row r="4" spans="1:19">
      <c r="A4">
        <v>3</v>
      </c>
      <c r="B4" t="s">
        <v>22</v>
      </c>
      <c r="C4">
        <v>20260102</v>
      </c>
      <c r="D4">
        <v>2</v>
      </c>
      <c r="E4">
        <v>3</v>
      </c>
      <c r="F4">
        <v>0</v>
      </c>
      <c r="G4">
        <v>2</v>
      </c>
      <c r="H4">
        <v>2</v>
      </c>
      <c r="I4">
        <v>2</v>
      </c>
      <c r="J4">
        <v>1200</v>
      </c>
      <c r="K4">
        <v>34.799999999999997</v>
      </c>
      <c r="L4">
        <v>41760</v>
      </c>
      <c r="M4">
        <v>25</v>
      </c>
      <c r="N4">
        <v>1.25</v>
      </c>
      <c r="O4">
        <v>-41786.25</v>
      </c>
      <c r="P4">
        <v>350000</v>
      </c>
      <c r="Q4">
        <v>308213.75</v>
      </c>
      <c r="R4" t="s">
        <v>20</v>
      </c>
      <c r="S4">
        <v>1</v>
      </c>
    </row>
    <row r="5" spans="1:19">
      <c r="A5">
        <v>4</v>
      </c>
      <c r="B5" t="s">
        <v>23</v>
      </c>
      <c r="C5">
        <v>20260102</v>
      </c>
      <c r="D5">
        <v>3</v>
      </c>
      <c r="E5">
        <v>4</v>
      </c>
      <c r="F5">
        <v>1</v>
      </c>
      <c r="G5">
        <v>4</v>
      </c>
      <c r="H5">
        <v>12</v>
      </c>
      <c r="I5">
        <v>1</v>
      </c>
      <c r="J5">
        <v>300000</v>
      </c>
      <c r="K5">
        <v>1</v>
      </c>
      <c r="L5">
        <v>300000</v>
      </c>
      <c r="M5">
        <v>0</v>
      </c>
      <c r="N5">
        <v>0</v>
      </c>
      <c r="O5">
        <v>300000</v>
      </c>
      <c r="P5">
        <v>500000</v>
      </c>
      <c r="Q5">
        <v>800000</v>
      </c>
      <c r="R5" t="s">
        <v>20</v>
      </c>
      <c r="S5">
        <v>1</v>
      </c>
    </row>
    <row r="6" spans="1:19">
      <c r="A6">
        <v>5</v>
      </c>
      <c r="B6" t="s">
        <v>24</v>
      </c>
      <c r="C6">
        <v>20260103</v>
      </c>
      <c r="D6">
        <v>4</v>
      </c>
      <c r="E6">
        <v>5</v>
      </c>
      <c r="F6">
        <v>5</v>
      </c>
      <c r="G6">
        <v>3</v>
      </c>
      <c r="H6">
        <v>5</v>
      </c>
      <c r="I6">
        <v>1</v>
      </c>
      <c r="J6">
        <v>3000</v>
      </c>
      <c r="K6">
        <v>1</v>
      </c>
      <c r="L6">
        <v>3000</v>
      </c>
      <c r="M6">
        <v>0</v>
      </c>
      <c r="N6">
        <v>0</v>
      </c>
      <c r="O6">
        <v>-3000</v>
      </c>
      <c r="P6">
        <v>25000</v>
      </c>
      <c r="Q6">
        <v>22000</v>
      </c>
      <c r="R6" t="s">
        <v>20</v>
      </c>
      <c r="S6">
        <v>1</v>
      </c>
    </row>
    <row r="7" spans="1:19">
      <c r="A7">
        <v>6</v>
      </c>
      <c r="B7" t="s">
        <v>25</v>
      </c>
      <c r="C7">
        <v>20260103</v>
      </c>
      <c r="D7">
        <v>5</v>
      </c>
      <c r="E7">
        <v>6</v>
      </c>
      <c r="F7">
        <v>0</v>
      </c>
      <c r="G7">
        <v>7</v>
      </c>
      <c r="H7">
        <v>4</v>
      </c>
      <c r="I7">
        <v>3</v>
      </c>
      <c r="J7">
        <v>20000</v>
      </c>
      <c r="K7">
        <v>36.200000000000003</v>
      </c>
      <c r="L7">
        <v>724000</v>
      </c>
      <c r="M7">
        <v>0</v>
      </c>
      <c r="N7">
        <v>0</v>
      </c>
      <c r="O7">
        <v>724000</v>
      </c>
      <c r="P7">
        <v>1100000</v>
      </c>
      <c r="Q7">
        <v>1824000</v>
      </c>
      <c r="R7" t="s">
        <v>20</v>
      </c>
      <c r="S7">
        <v>1</v>
      </c>
    </row>
    <row r="8" spans="1:19">
      <c r="A8">
        <v>7</v>
      </c>
      <c r="B8" t="s">
        <v>26</v>
      </c>
      <c r="C8">
        <v>20260104</v>
      </c>
      <c r="D8">
        <v>6</v>
      </c>
      <c r="E8">
        <v>7</v>
      </c>
      <c r="F8">
        <v>0</v>
      </c>
      <c r="G8">
        <v>5</v>
      </c>
      <c r="H8">
        <v>7</v>
      </c>
      <c r="I8">
        <v>1</v>
      </c>
      <c r="J8">
        <v>850</v>
      </c>
      <c r="K8">
        <v>1</v>
      </c>
      <c r="L8">
        <v>850</v>
      </c>
      <c r="M8">
        <v>0</v>
      </c>
      <c r="N8">
        <v>0</v>
      </c>
      <c r="O8">
        <v>-850</v>
      </c>
      <c r="P8">
        <v>8000</v>
      </c>
      <c r="Q8">
        <v>7150</v>
      </c>
      <c r="R8" t="s">
        <v>20</v>
      </c>
      <c r="S8">
        <v>1</v>
      </c>
    </row>
    <row r="9" spans="1:19">
      <c r="A9">
        <v>8</v>
      </c>
      <c r="B9" t="s">
        <v>27</v>
      </c>
      <c r="C9">
        <v>20260104</v>
      </c>
      <c r="D9">
        <v>7</v>
      </c>
      <c r="E9">
        <v>8</v>
      </c>
      <c r="F9">
        <v>0</v>
      </c>
      <c r="G9">
        <v>2</v>
      </c>
      <c r="H9">
        <v>8</v>
      </c>
      <c r="I9">
        <v>1</v>
      </c>
      <c r="J9">
        <v>1600</v>
      </c>
      <c r="K9">
        <v>1</v>
      </c>
      <c r="L9">
        <v>1600</v>
      </c>
      <c r="M9">
        <v>0</v>
      </c>
      <c r="N9">
        <v>0</v>
      </c>
      <c r="O9">
        <v>-1600</v>
      </c>
      <c r="P9">
        <v>120000</v>
      </c>
      <c r="Q9">
        <v>118400</v>
      </c>
      <c r="R9" t="s">
        <v>20</v>
      </c>
      <c r="S9">
        <v>1</v>
      </c>
    </row>
    <row r="10" spans="1:19">
      <c r="A10">
        <v>9</v>
      </c>
      <c r="B10" t="s">
        <v>28</v>
      </c>
      <c r="C10">
        <v>20260105</v>
      </c>
      <c r="D10">
        <v>8</v>
      </c>
      <c r="E10">
        <v>9</v>
      </c>
      <c r="F10">
        <v>7</v>
      </c>
      <c r="G10">
        <v>4</v>
      </c>
      <c r="H10">
        <v>9</v>
      </c>
      <c r="I10">
        <v>1</v>
      </c>
      <c r="J10">
        <v>25000</v>
      </c>
      <c r="K10">
        <v>1</v>
      </c>
      <c r="L10">
        <v>25000</v>
      </c>
      <c r="M10">
        <v>0</v>
      </c>
      <c r="N10">
        <v>0</v>
      </c>
      <c r="O10">
        <v>-25000</v>
      </c>
      <c r="P10">
        <v>210000</v>
      </c>
      <c r="Q10">
        <v>185000</v>
      </c>
      <c r="R10" t="s">
        <v>20</v>
      </c>
      <c r="S10">
        <v>1</v>
      </c>
    </row>
    <row r="11" spans="1:19">
      <c r="A11">
        <v>10</v>
      </c>
      <c r="B11" t="s">
        <v>29</v>
      </c>
      <c r="C11">
        <v>20260105</v>
      </c>
      <c r="D11">
        <v>1</v>
      </c>
      <c r="E11">
        <v>2</v>
      </c>
      <c r="F11">
        <v>0</v>
      </c>
      <c r="G11">
        <v>1</v>
      </c>
      <c r="H11">
        <v>10</v>
      </c>
      <c r="I11">
        <v>1</v>
      </c>
      <c r="J11">
        <v>650</v>
      </c>
      <c r="K11">
        <v>1</v>
      </c>
      <c r="L11">
        <v>650</v>
      </c>
      <c r="M11">
        <v>0</v>
      </c>
      <c r="N11">
        <v>0</v>
      </c>
      <c r="O11">
        <v>650</v>
      </c>
      <c r="P11">
        <v>100000</v>
      </c>
      <c r="Q11">
        <v>100650</v>
      </c>
      <c r="R11" t="s">
        <v>20</v>
      </c>
      <c r="S11">
        <v>1</v>
      </c>
    </row>
    <row r="12" spans="1:19">
      <c r="A12">
        <v>11</v>
      </c>
      <c r="B12" t="s">
        <v>30</v>
      </c>
      <c r="C12">
        <v>20260105</v>
      </c>
      <c r="D12">
        <v>2</v>
      </c>
      <c r="E12">
        <v>3</v>
      </c>
      <c r="F12">
        <v>0</v>
      </c>
      <c r="G12">
        <v>6</v>
      </c>
      <c r="H12">
        <v>11</v>
      </c>
      <c r="I12">
        <v>2</v>
      </c>
      <c r="J12">
        <v>150</v>
      </c>
      <c r="K12">
        <v>34.799999999999997</v>
      </c>
      <c r="L12">
        <v>5220</v>
      </c>
      <c r="M12">
        <v>0</v>
      </c>
      <c r="N12">
        <v>0</v>
      </c>
      <c r="O12">
        <v>-5220</v>
      </c>
      <c r="P12">
        <v>308213.75</v>
      </c>
      <c r="Q12">
        <v>302993.75</v>
      </c>
      <c r="R12" t="s">
        <v>20</v>
      </c>
      <c r="S12">
        <v>1</v>
      </c>
    </row>
    <row r="13" spans="1:19">
      <c r="A13">
        <v>12</v>
      </c>
      <c r="B13" t="s">
        <v>31</v>
      </c>
      <c r="C13">
        <v>20260105</v>
      </c>
      <c r="D13">
        <v>4</v>
      </c>
      <c r="E13">
        <v>5</v>
      </c>
      <c r="F13">
        <v>0</v>
      </c>
      <c r="G13">
        <v>1</v>
      </c>
      <c r="H13">
        <v>4</v>
      </c>
      <c r="I13">
        <v>1</v>
      </c>
      <c r="J13">
        <v>5500</v>
      </c>
      <c r="K13">
        <v>1</v>
      </c>
      <c r="L13">
        <v>5500</v>
      </c>
      <c r="M13">
        <v>0</v>
      </c>
      <c r="N13">
        <v>0</v>
      </c>
      <c r="O13">
        <v>5500</v>
      </c>
      <c r="P13">
        <v>22000</v>
      </c>
      <c r="Q13">
        <v>27500</v>
      </c>
      <c r="R13" t="s">
        <v>20</v>
      </c>
      <c r="S1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187C-BBBD-48AA-A6F5-41EA5F7AFEFA}">
  <dimension ref="A1:K13"/>
  <sheetViews>
    <sheetView workbookViewId="0">
      <selection activeCell="D23" sqref="D23"/>
    </sheetView>
  </sheetViews>
  <sheetFormatPr defaultRowHeight="15"/>
  <cols>
    <col min="1" max="1" width="18.140625" customWidth="1"/>
    <col min="2" max="2" width="18.7109375" customWidth="1"/>
    <col min="3" max="3" width="18.5703125" customWidth="1"/>
    <col min="4" max="4" width="18.28515625" customWidth="1"/>
    <col min="5" max="5" width="18.7109375" customWidth="1"/>
    <col min="6" max="6" width="20.42578125" bestFit="1" customWidth="1"/>
    <col min="7" max="7" width="22.28515625" bestFit="1" customWidth="1"/>
    <col min="8" max="8" width="21.42578125" customWidth="1"/>
    <col min="9" max="9" width="20.28515625" bestFit="1" customWidth="1"/>
    <col min="10" max="10" width="21.28515625" bestFit="1" customWidth="1"/>
    <col min="11" max="11" width="18.7109375" customWidth="1"/>
  </cols>
  <sheetData>
    <row r="1" spans="1:11">
      <c r="A1" s="1" t="s">
        <v>32</v>
      </c>
      <c r="B1" s="1" t="s">
        <v>2</v>
      </c>
      <c r="C1" s="1" t="s">
        <v>3</v>
      </c>
      <c r="D1" s="1" t="s">
        <v>4</v>
      </c>
      <c r="E1" s="1" t="s">
        <v>8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>
      <c r="A2">
        <v>1</v>
      </c>
      <c r="B2">
        <v>20260101</v>
      </c>
      <c r="C2">
        <v>1</v>
      </c>
      <c r="D2">
        <v>1</v>
      </c>
      <c r="E2">
        <v>1</v>
      </c>
      <c r="F2">
        <v>52495.35</v>
      </c>
      <c r="G2">
        <v>52495.35</v>
      </c>
      <c r="H2">
        <v>0</v>
      </c>
      <c r="I2">
        <v>0</v>
      </c>
      <c r="J2">
        <v>0</v>
      </c>
      <c r="K2">
        <v>1</v>
      </c>
    </row>
    <row r="3" spans="1:11">
      <c r="A3">
        <v>2</v>
      </c>
      <c r="B3">
        <v>20260101</v>
      </c>
      <c r="C3">
        <v>1</v>
      </c>
      <c r="D3">
        <v>2</v>
      </c>
      <c r="E3">
        <v>1</v>
      </c>
      <c r="F3">
        <v>100000</v>
      </c>
      <c r="G3">
        <v>100000</v>
      </c>
      <c r="H3">
        <v>0</v>
      </c>
      <c r="I3">
        <v>0</v>
      </c>
      <c r="J3">
        <v>450</v>
      </c>
      <c r="K3">
        <v>1</v>
      </c>
    </row>
    <row r="4" spans="1:11">
      <c r="A4">
        <v>3</v>
      </c>
      <c r="B4">
        <v>20260101</v>
      </c>
      <c r="C4">
        <v>2</v>
      </c>
      <c r="D4">
        <v>3</v>
      </c>
      <c r="E4">
        <v>2</v>
      </c>
      <c r="F4">
        <v>350000</v>
      </c>
      <c r="G4">
        <v>345000</v>
      </c>
      <c r="H4">
        <v>5000</v>
      </c>
      <c r="I4">
        <v>0</v>
      </c>
      <c r="J4">
        <v>0</v>
      </c>
      <c r="K4">
        <v>1</v>
      </c>
    </row>
    <row r="5" spans="1:11">
      <c r="A5">
        <v>4</v>
      </c>
      <c r="B5">
        <v>20260101</v>
      </c>
      <c r="C5">
        <v>3</v>
      </c>
      <c r="D5">
        <v>4</v>
      </c>
      <c r="E5">
        <v>1</v>
      </c>
      <c r="F5">
        <v>500000</v>
      </c>
      <c r="G5">
        <v>480000</v>
      </c>
      <c r="H5">
        <v>20000</v>
      </c>
      <c r="I5">
        <v>0</v>
      </c>
      <c r="J5">
        <v>0</v>
      </c>
      <c r="K5">
        <v>1</v>
      </c>
    </row>
    <row r="6" spans="1:11">
      <c r="A6">
        <v>5</v>
      </c>
      <c r="B6">
        <v>20260101</v>
      </c>
      <c r="C6">
        <v>4</v>
      </c>
      <c r="D6">
        <v>5</v>
      </c>
      <c r="E6">
        <v>1</v>
      </c>
      <c r="F6">
        <v>25000</v>
      </c>
      <c r="G6">
        <v>25000</v>
      </c>
      <c r="H6">
        <v>0</v>
      </c>
      <c r="I6">
        <v>0</v>
      </c>
      <c r="J6">
        <v>0</v>
      </c>
      <c r="K6">
        <v>1</v>
      </c>
    </row>
    <row r="7" spans="1:11">
      <c r="A7">
        <v>6</v>
      </c>
      <c r="B7">
        <v>20260101</v>
      </c>
      <c r="C7">
        <v>5</v>
      </c>
      <c r="D7">
        <v>6</v>
      </c>
      <c r="E7">
        <v>3</v>
      </c>
      <c r="F7">
        <v>1100000</v>
      </c>
      <c r="G7">
        <v>1080000</v>
      </c>
      <c r="H7">
        <v>20000</v>
      </c>
      <c r="I7">
        <v>0</v>
      </c>
      <c r="J7">
        <v>0</v>
      </c>
      <c r="K7">
        <v>1</v>
      </c>
    </row>
    <row r="8" spans="1:11">
      <c r="A8">
        <v>7</v>
      </c>
      <c r="B8">
        <v>20260105</v>
      </c>
      <c r="C8">
        <v>1</v>
      </c>
      <c r="D8">
        <v>1</v>
      </c>
      <c r="E8">
        <v>1</v>
      </c>
      <c r="F8">
        <v>52495.35</v>
      </c>
      <c r="G8">
        <v>52495.35</v>
      </c>
      <c r="H8">
        <v>0</v>
      </c>
      <c r="I8">
        <v>0</v>
      </c>
      <c r="J8">
        <v>0</v>
      </c>
      <c r="K8">
        <v>1</v>
      </c>
    </row>
    <row r="9" spans="1:11">
      <c r="A9">
        <v>8</v>
      </c>
      <c r="B9">
        <v>20260105</v>
      </c>
      <c r="C9">
        <v>1</v>
      </c>
      <c r="D9">
        <v>2</v>
      </c>
      <c r="E9">
        <v>1</v>
      </c>
      <c r="F9">
        <v>100650</v>
      </c>
      <c r="G9">
        <v>100650</v>
      </c>
      <c r="H9">
        <v>0</v>
      </c>
      <c r="I9">
        <v>0</v>
      </c>
      <c r="J9">
        <v>650</v>
      </c>
      <c r="K9">
        <v>1</v>
      </c>
    </row>
    <row r="10" spans="1:11">
      <c r="A10">
        <v>9</v>
      </c>
      <c r="B10">
        <v>20260105</v>
      </c>
      <c r="C10">
        <v>2</v>
      </c>
      <c r="D10">
        <v>3</v>
      </c>
      <c r="E10">
        <v>2</v>
      </c>
      <c r="F10">
        <v>302993.75</v>
      </c>
      <c r="G10">
        <v>297993.75</v>
      </c>
      <c r="H10">
        <v>5000</v>
      </c>
      <c r="I10">
        <v>0</v>
      </c>
      <c r="J10">
        <v>0</v>
      </c>
      <c r="K10">
        <v>1</v>
      </c>
    </row>
    <row r="11" spans="1:11">
      <c r="A11">
        <v>10</v>
      </c>
      <c r="B11">
        <v>20260105</v>
      </c>
      <c r="C11">
        <v>3</v>
      </c>
      <c r="D11">
        <v>4</v>
      </c>
      <c r="E11">
        <v>1</v>
      </c>
      <c r="F11">
        <v>800000</v>
      </c>
      <c r="G11">
        <v>780000</v>
      </c>
      <c r="H11">
        <v>20000</v>
      </c>
      <c r="I11">
        <v>0</v>
      </c>
      <c r="J11">
        <v>0</v>
      </c>
      <c r="K11">
        <v>1</v>
      </c>
    </row>
    <row r="12" spans="1:11">
      <c r="A12">
        <v>11</v>
      </c>
      <c r="B12">
        <v>20260105</v>
      </c>
      <c r="C12">
        <v>4</v>
      </c>
      <c r="D12">
        <v>5</v>
      </c>
      <c r="E12">
        <v>1</v>
      </c>
      <c r="F12">
        <v>27500</v>
      </c>
      <c r="G12">
        <v>27500</v>
      </c>
      <c r="H12">
        <v>0</v>
      </c>
      <c r="I12">
        <v>0</v>
      </c>
      <c r="J12">
        <v>0</v>
      </c>
      <c r="K12">
        <v>1</v>
      </c>
    </row>
    <row r="13" spans="1:11">
      <c r="A13">
        <v>12</v>
      </c>
      <c r="B13">
        <v>20260105</v>
      </c>
      <c r="C13">
        <v>5</v>
      </c>
      <c r="D13">
        <v>6</v>
      </c>
      <c r="E13">
        <v>3</v>
      </c>
      <c r="F13">
        <v>1824000</v>
      </c>
      <c r="G13">
        <v>1804000</v>
      </c>
      <c r="H13">
        <v>20000</v>
      </c>
      <c r="I13">
        <v>0</v>
      </c>
      <c r="J13">
        <v>0</v>
      </c>
      <c r="K1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5046-D864-4707-A59F-F109A0A8477E}">
  <dimension ref="A1:Q9"/>
  <sheetViews>
    <sheetView workbookViewId="0"/>
  </sheetViews>
  <sheetFormatPr defaultRowHeight="15"/>
  <cols>
    <col min="1" max="1" width="19" bestFit="1" customWidth="1"/>
    <col min="2" max="3" width="18.5703125" customWidth="1"/>
    <col min="4" max="4" width="18.7109375" customWidth="1"/>
    <col min="5" max="5" width="15.28515625" bestFit="1" customWidth="1"/>
    <col min="6" max="6" width="11" bestFit="1" customWidth="1"/>
    <col min="7" max="7" width="16" customWidth="1"/>
    <col min="8" max="8" width="15.7109375" customWidth="1"/>
    <col min="9" max="9" width="14" bestFit="1" customWidth="1"/>
    <col min="10" max="10" width="24.7109375" customWidth="1"/>
    <col min="11" max="11" width="18.5703125" bestFit="1" customWidth="1"/>
    <col min="12" max="12" width="27.85546875" customWidth="1"/>
    <col min="13" max="13" width="18.7109375" customWidth="1"/>
    <col min="14" max="14" width="18.5703125" customWidth="1"/>
    <col min="15" max="15" width="18.7109375" customWidth="1"/>
    <col min="16" max="16" width="17" bestFit="1" customWidth="1"/>
    <col min="17" max="17" width="16.85546875" bestFit="1" customWidth="1"/>
  </cols>
  <sheetData>
    <row r="1" spans="1:17">
      <c r="A1" s="1" t="s">
        <v>39</v>
      </c>
      <c r="B1" s="1" t="s">
        <v>40</v>
      </c>
      <c r="C1" s="1" t="s">
        <v>2</v>
      </c>
      <c r="D1" s="1" t="s">
        <v>41</v>
      </c>
      <c r="E1" s="1" t="s">
        <v>3</v>
      </c>
      <c r="F1" s="1" t="s">
        <v>42</v>
      </c>
      <c r="G1" s="1" t="s">
        <v>43</v>
      </c>
      <c r="H1" s="1" t="s">
        <v>5</v>
      </c>
      <c r="I1" s="1" t="s">
        <v>6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</row>
    <row r="2" spans="1:17">
      <c r="A2">
        <v>1</v>
      </c>
      <c r="B2" t="s">
        <v>52</v>
      </c>
      <c r="C2">
        <v>20260101</v>
      </c>
      <c r="D2">
        <v>20260101</v>
      </c>
      <c r="E2">
        <v>1</v>
      </c>
      <c r="F2">
        <v>1</v>
      </c>
      <c r="G2">
        <v>4</v>
      </c>
      <c r="H2">
        <v>0</v>
      </c>
      <c r="I2">
        <v>1</v>
      </c>
      <c r="J2">
        <v>8200</v>
      </c>
      <c r="K2">
        <v>6200</v>
      </c>
      <c r="L2">
        <v>2000</v>
      </c>
      <c r="M2">
        <v>0</v>
      </c>
      <c r="N2">
        <v>8200</v>
      </c>
      <c r="O2">
        <v>0</v>
      </c>
      <c r="P2" t="s">
        <v>53</v>
      </c>
      <c r="Q2">
        <v>1</v>
      </c>
    </row>
    <row r="3" spans="1:17">
      <c r="A3">
        <v>2</v>
      </c>
      <c r="B3" t="s">
        <v>54</v>
      </c>
      <c r="C3">
        <v>20260102</v>
      </c>
      <c r="D3">
        <v>20260101</v>
      </c>
      <c r="E3">
        <v>2</v>
      </c>
      <c r="F3">
        <v>2</v>
      </c>
      <c r="G3">
        <v>6</v>
      </c>
      <c r="H3">
        <v>0</v>
      </c>
      <c r="I3">
        <v>2</v>
      </c>
      <c r="J3">
        <v>34500</v>
      </c>
      <c r="K3">
        <v>20500</v>
      </c>
      <c r="L3">
        <v>14000</v>
      </c>
      <c r="M3">
        <v>150</v>
      </c>
      <c r="N3">
        <v>34650</v>
      </c>
      <c r="O3">
        <v>1</v>
      </c>
      <c r="P3" t="s">
        <v>55</v>
      </c>
      <c r="Q3">
        <v>1</v>
      </c>
    </row>
    <row r="4" spans="1:17">
      <c r="A4">
        <v>3</v>
      </c>
      <c r="B4" t="s">
        <v>56</v>
      </c>
      <c r="C4">
        <v>20260103</v>
      </c>
      <c r="D4">
        <v>20260103</v>
      </c>
      <c r="E4">
        <v>3</v>
      </c>
      <c r="F4">
        <v>3</v>
      </c>
      <c r="G4">
        <v>7</v>
      </c>
      <c r="H4">
        <v>1</v>
      </c>
      <c r="I4">
        <v>4</v>
      </c>
      <c r="J4">
        <v>72000</v>
      </c>
      <c r="K4">
        <v>50000</v>
      </c>
      <c r="L4">
        <v>22000</v>
      </c>
      <c r="M4">
        <v>0</v>
      </c>
      <c r="N4">
        <v>72000</v>
      </c>
      <c r="O4">
        <v>0</v>
      </c>
      <c r="P4" t="s">
        <v>53</v>
      </c>
      <c r="Q4">
        <v>1</v>
      </c>
    </row>
    <row r="5" spans="1:17">
      <c r="A5">
        <v>4</v>
      </c>
      <c r="B5" t="s">
        <v>57</v>
      </c>
      <c r="C5">
        <v>20260104</v>
      </c>
      <c r="D5">
        <v>20260104</v>
      </c>
      <c r="E5">
        <v>4</v>
      </c>
      <c r="F5">
        <v>4</v>
      </c>
      <c r="G5">
        <v>5</v>
      </c>
      <c r="H5">
        <v>0</v>
      </c>
      <c r="I5">
        <v>1</v>
      </c>
      <c r="J5">
        <v>38200</v>
      </c>
      <c r="K5">
        <v>28000</v>
      </c>
      <c r="L5">
        <v>10200</v>
      </c>
      <c r="M5">
        <v>0</v>
      </c>
      <c r="N5">
        <v>38200</v>
      </c>
      <c r="O5">
        <v>0</v>
      </c>
      <c r="P5" t="s">
        <v>53</v>
      </c>
      <c r="Q5">
        <v>1</v>
      </c>
    </row>
    <row r="6" spans="1:17">
      <c r="A6">
        <v>5</v>
      </c>
      <c r="B6" t="s">
        <v>58</v>
      </c>
      <c r="C6">
        <v>20260105</v>
      </c>
      <c r="D6">
        <v>20260103</v>
      </c>
      <c r="E6">
        <v>5</v>
      </c>
      <c r="F6">
        <v>5</v>
      </c>
      <c r="G6">
        <v>7</v>
      </c>
      <c r="H6">
        <v>0</v>
      </c>
      <c r="I6">
        <v>7</v>
      </c>
      <c r="J6">
        <v>145000</v>
      </c>
      <c r="K6">
        <v>98000</v>
      </c>
      <c r="L6">
        <v>47000</v>
      </c>
      <c r="M6">
        <v>850</v>
      </c>
      <c r="N6">
        <v>145850</v>
      </c>
      <c r="O6">
        <v>2</v>
      </c>
      <c r="P6" t="s">
        <v>55</v>
      </c>
      <c r="Q6">
        <v>1</v>
      </c>
    </row>
    <row r="7" spans="1:17">
      <c r="A7">
        <v>6</v>
      </c>
      <c r="B7" t="s">
        <v>59</v>
      </c>
      <c r="C7">
        <v>20260101</v>
      </c>
      <c r="D7">
        <v>20260101</v>
      </c>
      <c r="E7">
        <v>6</v>
      </c>
      <c r="F7">
        <v>6</v>
      </c>
      <c r="G7">
        <v>4</v>
      </c>
      <c r="H7">
        <v>0</v>
      </c>
      <c r="I7">
        <v>1</v>
      </c>
      <c r="J7">
        <v>7200</v>
      </c>
      <c r="K7">
        <v>5600</v>
      </c>
      <c r="L7">
        <v>1600</v>
      </c>
      <c r="M7">
        <v>0</v>
      </c>
      <c r="N7">
        <v>7200</v>
      </c>
      <c r="O7">
        <v>0</v>
      </c>
      <c r="P7" t="s">
        <v>53</v>
      </c>
      <c r="Q7">
        <v>1</v>
      </c>
    </row>
    <row r="8" spans="1:17">
      <c r="A8">
        <v>7</v>
      </c>
      <c r="B8" t="s">
        <v>60</v>
      </c>
      <c r="C8">
        <v>20260102</v>
      </c>
      <c r="D8">
        <v>20260102</v>
      </c>
      <c r="E8">
        <v>7</v>
      </c>
      <c r="F8">
        <v>7</v>
      </c>
      <c r="G8">
        <v>6</v>
      </c>
      <c r="H8">
        <v>0</v>
      </c>
      <c r="I8">
        <v>2</v>
      </c>
      <c r="J8">
        <v>27600</v>
      </c>
      <c r="K8">
        <v>17000</v>
      </c>
      <c r="L8">
        <v>10600</v>
      </c>
      <c r="M8">
        <v>0</v>
      </c>
      <c r="N8">
        <v>27600</v>
      </c>
      <c r="O8">
        <v>0</v>
      </c>
      <c r="P8" t="s">
        <v>53</v>
      </c>
      <c r="Q8">
        <v>1</v>
      </c>
    </row>
    <row r="9" spans="1:17">
      <c r="A9">
        <v>8</v>
      </c>
      <c r="B9" t="s">
        <v>61</v>
      </c>
      <c r="C9">
        <v>20260105</v>
      </c>
      <c r="D9">
        <v>20260101</v>
      </c>
      <c r="E9">
        <v>8</v>
      </c>
      <c r="F9">
        <v>8</v>
      </c>
      <c r="G9">
        <v>7</v>
      </c>
      <c r="H9">
        <v>7</v>
      </c>
      <c r="I9">
        <v>4</v>
      </c>
      <c r="J9">
        <v>63000</v>
      </c>
      <c r="K9">
        <v>30000</v>
      </c>
      <c r="L9">
        <v>18000</v>
      </c>
      <c r="M9">
        <v>2400</v>
      </c>
      <c r="N9">
        <v>50400</v>
      </c>
      <c r="O9">
        <v>4</v>
      </c>
      <c r="P9" t="s">
        <v>62</v>
      </c>
      <c r="Q9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A8EA-43BD-4F6F-84BD-D0335F0DFF68}">
  <dimension ref="A1:O9"/>
  <sheetViews>
    <sheetView topLeftCell="H1" workbookViewId="0">
      <selection sqref="A1:O9"/>
    </sheetView>
  </sheetViews>
  <sheetFormatPr defaultRowHeight="15"/>
  <cols>
    <col min="1" max="1" width="19" bestFit="1" customWidth="1"/>
    <col min="2" max="2" width="18.85546875" customWidth="1"/>
    <col min="3" max="3" width="18.28515625" customWidth="1"/>
    <col min="4" max="4" width="18.7109375" customWidth="1"/>
    <col min="5" max="5" width="18.5703125" customWidth="1"/>
    <col min="6" max="7" width="18.7109375" customWidth="1"/>
    <col min="8" max="8" width="26" bestFit="1" customWidth="1"/>
    <col min="9" max="9" width="21.28515625" bestFit="1" customWidth="1"/>
    <col min="10" max="10" width="22" bestFit="1" customWidth="1"/>
    <col min="11" max="11" width="18.28515625" customWidth="1"/>
    <col min="12" max="12" width="22.5703125" bestFit="1" customWidth="1"/>
    <col min="13" max="13" width="20.7109375" bestFit="1" customWidth="1"/>
    <col min="14" max="14" width="14" customWidth="1"/>
    <col min="15" max="15" width="18.5703125" customWidth="1"/>
  </cols>
  <sheetData>
    <row r="1" spans="1:15">
      <c r="A1" s="1" t="s">
        <v>63</v>
      </c>
      <c r="B1" s="1" t="s">
        <v>2</v>
      </c>
      <c r="C1" s="1" t="s">
        <v>3</v>
      </c>
      <c r="D1" s="1" t="s">
        <v>42</v>
      </c>
      <c r="E1" s="1" t="s">
        <v>43</v>
      </c>
      <c r="F1" s="1" t="s">
        <v>5</v>
      </c>
      <c r="G1" s="1" t="s">
        <v>64</v>
      </c>
      <c r="H1" s="1" t="s">
        <v>65</v>
      </c>
      <c r="I1" s="1" t="s">
        <v>37</v>
      </c>
      <c r="J1" s="1" t="s">
        <v>66</v>
      </c>
      <c r="K1" s="1" t="s">
        <v>49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>
      <c r="A2">
        <v>1</v>
      </c>
      <c r="B2">
        <v>20260105</v>
      </c>
      <c r="C2">
        <v>1</v>
      </c>
      <c r="D2">
        <v>1</v>
      </c>
      <c r="E2">
        <v>4</v>
      </c>
      <c r="F2">
        <v>2</v>
      </c>
      <c r="G2">
        <v>1</v>
      </c>
      <c r="H2">
        <v>92500</v>
      </c>
      <c r="I2">
        <v>3200</v>
      </c>
      <c r="J2">
        <v>0</v>
      </c>
      <c r="K2">
        <v>0</v>
      </c>
      <c r="L2">
        <v>925</v>
      </c>
      <c r="M2">
        <v>95700</v>
      </c>
      <c r="N2" t="s">
        <v>71</v>
      </c>
      <c r="O2">
        <v>1</v>
      </c>
    </row>
    <row r="3" spans="1:15">
      <c r="A3">
        <v>2</v>
      </c>
      <c r="B3">
        <v>20260105</v>
      </c>
      <c r="C3">
        <v>2</v>
      </c>
      <c r="D3">
        <v>2</v>
      </c>
      <c r="E3">
        <v>6</v>
      </c>
      <c r="F3">
        <v>3</v>
      </c>
      <c r="G3">
        <v>1</v>
      </c>
      <c r="H3">
        <v>2180000</v>
      </c>
      <c r="I3">
        <v>18500</v>
      </c>
      <c r="J3">
        <v>0</v>
      </c>
      <c r="K3">
        <v>0</v>
      </c>
      <c r="L3">
        <v>21800</v>
      </c>
      <c r="M3">
        <v>2198500</v>
      </c>
      <c r="N3" t="s">
        <v>71</v>
      </c>
      <c r="O3">
        <v>1</v>
      </c>
    </row>
    <row r="4" spans="1:15">
      <c r="A4">
        <v>3</v>
      </c>
      <c r="B4">
        <v>20260105</v>
      </c>
      <c r="C4">
        <v>3</v>
      </c>
      <c r="D4">
        <v>3</v>
      </c>
      <c r="E4">
        <v>7</v>
      </c>
      <c r="F4">
        <v>1</v>
      </c>
      <c r="G4">
        <v>2</v>
      </c>
      <c r="H4">
        <v>1425000</v>
      </c>
      <c r="I4">
        <v>24500</v>
      </c>
      <c r="J4">
        <v>0</v>
      </c>
      <c r="K4">
        <v>0</v>
      </c>
      <c r="L4">
        <v>28500</v>
      </c>
      <c r="M4">
        <v>1449500</v>
      </c>
      <c r="N4" t="s">
        <v>71</v>
      </c>
      <c r="O4">
        <v>1</v>
      </c>
    </row>
    <row r="5" spans="1:15">
      <c r="A5">
        <v>4</v>
      </c>
      <c r="B5">
        <v>20260105</v>
      </c>
      <c r="C5">
        <v>4</v>
      </c>
      <c r="D5">
        <v>4</v>
      </c>
      <c r="E5">
        <v>5</v>
      </c>
      <c r="F5">
        <v>5</v>
      </c>
      <c r="G5">
        <v>2</v>
      </c>
      <c r="H5">
        <v>685000</v>
      </c>
      <c r="I5">
        <v>9800</v>
      </c>
      <c r="J5">
        <v>0</v>
      </c>
      <c r="K5">
        <v>0</v>
      </c>
      <c r="L5">
        <v>13700</v>
      </c>
      <c r="M5">
        <v>694800</v>
      </c>
      <c r="N5" t="s">
        <v>71</v>
      </c>
      <c r="O5">
        <v>1</v>
      </c>
    </row>
    <row r="6" spans="1:15">
      <c r="A6">
        <v>5</v>
      </c>
      <c r="B6">
        <v>20260105</v>
      </c>
      <c r="C6">
        <v>5</v>
      </c>
      <c r="D6">
        <v>5</v>
      </c>
      <c r="E6">
        <v>7</v>
      </c>
      <c r="F6">
        <v>1</v>
      </c>
      <c r="G6">
        <v>3</v>
      </c>
      <c r="H6">
        <v>2720000</v>
      </c>
      <c r="I6">
        <v>41000</v>
      </c>
      <c r="J6">
        <v>145000</v>
      </c>
      <c r="K6">
        <v>2</v>
      </c>
      <c r="L6">
        <v>136000</v>
      </c>
      <c r="M6">
        <v>2906000</v>
      </c>
      <c r="N6" t="s">
        <v>71</v>
      </c>
      <c r="O6">
        <v>1</v>
      </c>
    </row>
    <row r="7" spans="1:15">
      <c r="A7">
        <v>6</v>
      </c>
      <c r="B7">
        <v>20260105</v>
      </c>
      <c r="C7">
        <v>6</v>
      </c>
      <c r="D7">
        <v>6</v>
      </c>
      <c r="E7">
        <v>4</v>
      </c>
      <c r="F7">
        <v>0</v>
      </c>
      <c r="G7">
        <v>1</v>
      </c>
      <c r="H7">
        <v>5600</v>
      </c>
      <c r="I7">
        <v>180</v>
      </c>
      <c r="J7">
        <v>0</v>
      </c>
      <c r="K7">
        <v>0</v>
      </c>
      <c r="L7">
        <v>56</v>
      </c>
      <c r="M7">
        <v>5780</v>
      </c>
      <c r="N7" t="s">
        <v>71</v>
      </c>
      <c r="O7">
        <v>1</v>
      </c>
    </row>
    <row r="8" spans="1:15">
      <c r="A8">
        <v>7</v>
      </c>
      <c r="B8">
        <v>20260105</v>
      </c>
      <c r="C8">
        <v>7</v>
      </c>
      <c r="D8">
        <v>7</v>
      </c>
      <c r="E8">
        <v>6</v>
      </c>
      <c r="F8">
        <v>6</v>
      </c>
      <c r="G8">
        <v>2</v>
      </c>
      <c r="H8">
        <v>1510000</v>
      </c>
      <c r="I8">
        <v>16700</v>
      </c>
      <c r="J8">
        <v>0</v>
      </c>
      <c r="K8">
        <v>0</v>
      </c>
      <c r="L8">
        <v>30200</v>
      </c>
      <c r="M8">
        <v>1526700</v>
      </c>
      <c r="N8" t="s">
        <v>71</v>
      </c>
      <c r="O8">
        <v>1</v>
      </c>
    </row>
    <row r="9" spans="1:15">
      <c r="A9">
        <v>8</v>
      </c>
      <c r="B9">
        <v>20260105</v>
      </c>
      <c r="C9">
        <v>8</v>
      </c>
      <c r="D9">
        <v>8</v>
      </c>
      <c r="E9">
        <v>7</v>
      </c>
      <c r="F9">
        <v>7</v>
      </c>
      <c r="G9">
        <v>4</v>
      </c>
      <c r="H9">
        <v>985000</v>
      </c>
      <c r="I9">
        <v>28500</v>
      </c>
      <c r="J9">
        <v>126000</v>
      </c>
      <c r="K9">
        <v>34</v>
      </c>
      <c r="L9">
        <v>197000</v>
      </c>
      <c r="M9">
        <v>1139500</v>
      </c>
      <c r="N9" t="s">
        <v>72</v>
      </c>
      <c r="O9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B514-E208-4123-BBEC-0F658B3BDFB4}">
  <dimension ref="A1:J6"/>
  <sheetViews>
    <sheetView workbookViewId="0">
      <selection sqref="A1:J6"/>
    </sheetView>
  </sheetViews>
  <sheetFormatPr defaultRowHeight="15"/>
  <cols>
    <col min="1" max="6" width="18.5703125" customWidth="1"/>
    <col min="7" max="7" width="18" customWidth="1"/>
    <col min="8" max="8" width="18.7109375" customWidth="1"/>
    <col min="9" max="9" width="18.42578125" customWidth="1"/>
    <col min="10" max="10" width="18.28515625" customWidth="1"/>
  </cols>
  <sheetData>
    <row r="1" spans="1:10">
      <c r="A1" s="1" t="s">
        <v>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</row>
    <row r="2" spans="1:10">
      <c r="A2">
        <v>20260101</v>
      </c>
      <c r="B2" s="2">
        <v>1012026</v>
      </c>
      <c r="C2">
        <v>1</v>
      </c>
      <c r="D2" t="s">
        <v>82</v>
      </c>
      <c r="E2">
        <v>1</v>
      </c>
      <c r="F2">
        <v>1</v>
      </c>
      <c r="G2" t="s">
        <v>83</v>
      </c>
      <c r="H2" t="s">
        <v>84</v>
      </c>
      <c r="I2">
        <v>2026</v>
      </c>
      <c r="J2" t="s">
        <v>71</v>
      </c>
    </row>
    <row r="3" spans="1:10">
      <c r="A3">
        <v>20260102</v>
      </c>
      <c r="B3" s="2">
        <v>2012026</v>
      </c>
      <c r="C3">
        <v>2</v>
      </c>
      <c r="D3" t="s">
        <v>85</v>
      </c>
      <c r="E3">
        <v>1</v>
      </c>
      <c r="F3">
        <v>1</v>
      </c>
      <c r="G3" t="s">
        <v>83</v>
      </c>
      <c r="H3" t="s">
        <v>84</v>
      </c>
      <c r="I3">
        <v>2026</v>
      </c>
      <c r="J3" t="s">
        <v>71</v>
      </c>
    </row>
    <row r="4" spans="1:10">
      <c r="A4">
        <v>20260103</v>
      </c>
      <c r="B4" s="2">
        <v>3012026</v>
      </c>
      <c r="C4">
        <v>3</v>
      </c>
      <c r="D4" t="s">
        <v>86</v>
      </c>
      <c r="E4">
        <v>1</v>
      </c>
      <c r="F4">
        <v>1</v>
      </c>
      <c r="G4" t="s">
        <v>83</v>
      </c>
      <c r="H4" t="s">
        <v>84</v>
      </c>
      <c r="I4">
        <v>2026</v>
      </c>
      <c r="J4" t="s">
        <v>72</v>
      </c>
    </row>
    <row r="5" spans="1:10">
      <c r="A5">
        <v>20260104</v>
      </c>
      <c r="B5" s="2">
        <v>4012026</v>
      </c>
      <c r="C5">
        <v>4</v>
      </c>
      <c r="D5" t="s">
        <v>87</v>
      </c>
      <c r="E5">
        <v>1</v>
      </c>
      <c r="F5">
        <v>1</v>
      </c>
      <c r="G5" t="s">
        <v>83</v>
      </c>
      <c r="H5" t="s">
        <v>84</v>
      </c>
      <c r="I5">
        <v>2026</v>
      </c>
      <c r="J5" t="s">
        <v>72</v>
      </c>
    </row>
    <row r="6" spans="1:10">
      <c r="A6">
        <v>20260105</v>
      </c>
      <c r="B6" s="2">
        <v>5012026</v>
      </c>
      <c r="C6">
        <v>5</v>
      </c>
      <c r="D6" t="s">
        <v>88</v>
      </c>
      <c r="E6">
        <v>2</v>
      </c>
      <c r="F6">
        <v>1</v>
      </c>
      <c r="G6" t="s">
        <v>83</v>
      </c>
      <c r="H6" t="s">
        <v>84</v>
      </c>
      <c r="I6">
        <v>2026</v>
      </c>
      <c r="J6" t="s">
        <v>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8FB6-A133-4C3C-9518-4A3F4126E9D6}">
  <dimension ref="A1:J11"/>
  <sheetViews>
    <sheetView tabSelected="1" workbookViewId="0">
      <selection sqref="A1:J11"/>
    </sheetView>
  </sheetViews>
  <sheetFormatPr defaultRowHeight="15"/>
  <cols>
    <col min="1" max="2" width="18.42578125" customWidth="1"/>
    <col min="3" max="3" width="18.5703125" customWidth="1"/>
    <col min="4" max="4" width="20.140625" bestFit="1" customWidth="1"/>
    <col min="5" max="5" width="18.28515625" customWidth="1"/>
    <col min="6" max="6" width="18.5703125" customWidth="1"/>
    <col min="7" max="7" width="18.7109375" customWidth="1"/>
    <col min="8" max="8" width="18.42578125" customWidth="1"/>
    <col min="9" max="9" width="18.5703125" customWidth="1"/>
    <col min="10" max="10" width="18.42578125" customWidth="1"/>
  </cols>
  <sheetData>
    <row r="1" spans="1:10">
      <c r="A1" s="1" t="s">
        <v>3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</row>
    <row r="2" spans="1:10">
      <c r="A2">
        <v>1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  <c r="H2" t="s">
        <v>104</v>
      </c>
      <c r="I2" s="2">
        <v>12032021</v>
      </c>
      <c r="J2" t="s">
        <v>72</v>
      </c>
    </row>
    <row r="3" spans="1:10">
      <c r="A3">
        <v>2</v>
      </c>
      <c r="B3" t="s">
        <v>105</v>
      </c>
      <c r="C3" t="s">
        <v>99</v>
      </c>
      <c r="D3" t="s">
        <v>106</v>
      </c>
      <c r="E3" t="s">
        <v>107</v>
      </c>
      <c r="F3" t="s">
        <v>108</v>
      </c>
      <c r="G3" t="s">
        <v>109</v>
      </c>
      <c r="H3" t="s">
        <v>104</v>
      </c>
      <c r="I3" s="2">
        <v>5072019</v>
      </c>
      <c r="J3" t="s">
        <v>72</v>
      </c>
    </row>
    <row r="4" spans="1:10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115</v>
      </c>
      <c r="H4" t="s">
        <v>116</v>
      </c>
      <c r="I4" s="2">
        <v>21112020</v>
      </c>
      <c r="J4" t="s">
        <v>72</v>
      </c>
    </row>
    <row r="5" spans="1:10">
      <c r="A5">
        <v>4</v>
      </c>
      <c r="B5" t="s">
        <v>117</v>
      </c>
      <c r="C5" t="s">
        <v>99</v>
      </c>
      <c r="D5" t="s">
        <v>100</v>
      </c>
      <c r="E5" t="s">
        <v>118</v>
      </c>
      <c r="F5" t="s">
        <v>102</v>
      </c>
      <c r="G5" t="s">
        <v>103</v>
      </c>
      <c r="H5" t="s">
        <v>116</v>
      </c>
      <c r="I5" s="2">
        <v>18022023</v>
      </c>
      <c r="J5" t="s">
        <v>72</v>
      </c>
    </row>
    <row r="6" spans="1:10">
      <c r="A6">
        <v>5</v>
      </c>
      <c r="B6" t="s">
        <v>119</v>
      </c>
      <c r="C6" t="s">
        <v>111</v>
      </c>
      <c r="D6" t="s">
        <v>120</v>
      </c>
      <c r="E6" t="s">
        <v>101</v>
      </c>
      <c r="F6" t="s">
        <v>102</v>
      </c>
      <c r="G6" t="s">
        <v>115</v>
      </c>
      <c r="H6" t="s">
        <v>104</v>
      </c>
      <c r="I6" s="2">
        <v>9092018</v>
      </c>
      <c r="J6" t="s">
        <v>72</v>
      </c>
    </row>
    <row r="7" spans="1:10">
      <c r="A7">
        <v>6</v>
      </c>
      <c r="B7" t="s">
        <v>121</v>
      </c>
      <c r="C7" t="s">
        <v>99</v>
      </c>
      <c r="D7" t="s">
        <v>122</v>
      </c>
      <c r="E7" t="s">
        <v>123</v>
      </c>
      <c r="F7" t="s">
        <v>108</v>
      </c>
      <c r="G7" t="s">
        <v>124</v>
      </c>
      <c r="H7" t="s">
        <v>116</v>
      </c>
      <c r="I7" s="2">
        <v>14062024</v>
      </c>
      <c r="J7" t="s">
        <v>72</v>
      </c>
    </row>
    <row r="8" spans="1:10">
      <c r="A8">
        <v>7</v>
      </c>
      <c r="B8" t="s">
        <v>125</v>
      </c>
      <c r="C8" t="s">
        <v>99</v>
      </c>
      <c r="D8" t="s">
        <v>106</v>
      </c>
      <c r="E8" t="s">
        <v>126</v>
      </c>
      <c r="F8" t="s">
        <v>127</v>
      </c>
      <c r="G8" t="s">
        <v>109</v>
      </c>
      <c r="H8" t="s">
        <v>104</v>
      </c>
      <c r="I8" s="2">
        <v>27012020</v>
      </c>
      <c r="J8" t="s">
        <v>72</v>
      </c>
    </row>
    <row r="9" spans="1:10">
      <c r="A9">
        <v>8</v>
      </c>
      <c r="B9" t="s">
        <v>128</v>
      </c>
      <c r="C9" t="s">
        <v>111</v>
      </c>
      <c r="D9" t="s">
        <v>112</v>
      </c>
      <c r="E9" t="s">
        <v>129</v>
      </c>
      <c r="F9" t="s">
        <v>108</v>
      </c>
      <c r="G9" t="s">
        <v>130</v>
      </c>
      <c r="H9" t="s">
        <v>131</v>
      </c>
      <c r="I9" s="2">
        <v>3042022</v>
      </c>
      <c r="J9" t="s">
        <v>72</v>
      </c>
    </row>
    <row r="10" spans="1:10">
      <c r="A10">
        <v>9</v>
      </c>
      <c r="B10" t="s">
        <v>132</v>
      </c>
      <c r="C10" t="s">
        <v>99</v>
      </c>
      <c r="D10" t="s">
        <v>100</v>
      </c>
      <c r="E10" t="s">
        <v>133</v>
      </c>
      <c r="F10" t="s">
        <v>127</v>
      </c>
      <c r="G10" t="s">
        <v>103</v>
      </c>
      <c r="H10" t="s">
        <v>116</v>
      </c>
      <c r="I10" s="2">
        <v>11082021</v>
      </c>
      <c r="J10" t="s">
        <v>71</v>
      </c>
    </row>
    <row r="11" spans="1:10">
      <c r="A11">
        <v>10</v>
      </c>
      <c r="B11" t="s">
        <v>134</v>
      </c>
      <c r="C11" t="s">
        <v>99</v>
      </c>
      <c r="D11" t="s">
        <v>122</v>
      </c>
      <c r="E11" t="s">
        <v>101</v>
      </c>
      <c r="F11" t="s">
        <v>102</v>
      </c>
      <c r="G11" t="s">
        <v>124</v>
      </c>
      <c r="H11" t="s">
        <v>104</v>
      </c>
      <c r="I11" s="2">
        <v>16102025</v>
      </c>
      <c r="J11" t="s">
        <v>72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4A956-AD54-415D-A113-5287843DFCF2}">
  <dimension ref="A1:H11"/>
  <sheetViews>
    <sheetView workbookViewId="0">
      <selection activeCell="A2" sqref="A2:E11"/>
    </sheetView>
  </sheetViews>
  <sheetFormatPr defaultRowHeight="15"/>
  <cols>
    <col min="1" max="1" width="18.5703125" customWidth="1"/>
    <col min="2" max="2" width="18.28515625" customWidth="1"/>
    <col min="3" max="3" width="18.85546875" customWidth="1"/>
    <col min="4" max="4" width="18.5703125" customWidth="1"/>
    <col min="5" max="5" width="18.7109375" customWidth="1"/>
    <col min="6" max="6" width="18.28515625" customWidth="1"/>
    <col min="7" max="7" width="18.7109375" customWidth="1"/>
    <col min="8" max="8" width="18.42578125" customWidth="1"/>
  </cols>
  <sheetData>
    <row r="1" spans="1:8">
      <c r="A1" s="1" t="s">
        <v>4</v>
      </c>
      <c r="B1" s="1" t="s">
        <v>135</v>
      </c>
      <c r="C1" s="1" t="s">
        <v>3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</row>
    <row r="2" spans="1:8">
      <c r="A2">
        <v>1</v>
      </c>
      <c r="B2" t="s">
        <v>141</v>
      </c>
      <c r="C2">
        <v>1</v>
      </c>
      <c r="D2" t="s">
        <v>142</v>
      </c>
      <c r="E2" t="s">
        <v>143</v>
      </c>
      <c r="F2" s="2">
        <v>12032021</v>
      </c>
      <c r="G2" t="s">
        <v>144</v>
      </c>
      <c r="H2">
        <v>10000</v>
      </c>
    </row>
    <row r="3" spans="1:8">
      <c r="A3">
        <v>2</v>
      </c>
      <c r="B3" t="s">
        <v>145</v>
      </c>
      <c r="C3">
        <v>1</v>
      </c>
      <c r="D3" t="s">
        <v>146</v>
      </c>
      <c r="E3" t="s">
        <v>143</v>
      </c>
      <c r="F3" s="2">
        <v>8062023</v>
      </c>
      <c r="G3" t="s">
        <v>144</v>
      </c>
      <c r="H3">
        <v>0</v>
      </c>
    </row>
    <row r="4" spans="1:8">
      <c r="A4">
        <v>3</v>
      </c>
      <c r="B4" t="s">
        <v>147</v>
      </c>
      <c r="C4">
        <v>2</v>
      </c>
      <c r="D4" t="s">
        <v>142</v>
      </c>
      <c r="E4" t="s">
        <v>148</v>
      </c>
      <c r="F4" s="2">
        <v>5072019</v>
      </c>
      <c r="G4" t="s">
        <v>144</v>
      </c>
      <c r="H4">
        <v>25000</v>
      </c>
    </row>
    <row r="5" spans="1:8">
      <c r="A5">
        <v>4</v>
      </c>
      <c r="B5" t="s">
        <v>149</v>
      </c>
      <c r="C5">
        <v>3</v>
      </c>
      <c r="D5" t="s">
        <v>150</v>
      </c>
      <c r="E5" t="s">
        <v>143</v>
      </c>
      <c r="F5" s="2">
        <v>21112020</v>
      </c>
      <c r="G5" t="s">
        <v>144</v>
      </c>
      <c r="H5">
        <v>100000</v>
      </c>
    </row>
    <row r="6" spans="1:8">
      <c r="A6">
        <v>5</v>
      </c>
      <c r="B6" t="s">
        <v>151</v>
      </c>
      <c r="C6">
        <v>4</v>
      </c>
      <c r="D6" t="s">
        <v>142</v>
      </c>
      <c r="E6" t="s">
        <v>143</v>
      </c>
      <c r="F6" s="2">
        <v>18022023</v>
      </c>
      <c r="G6" t="s">
        <v>144</v>
      </c>
      <c r="H6">
        <v>5000</v>
      </c>
    </row>
    <row r="7" spans="1:8">
      <c r="A7">
        <v>6</v>
      </c>
      <c r="B7" t="s">
        <v>152</v>
      </c>
      <c r="C7">
        <v>5</v>
      </c>
      <c r="D7" t="s">
        <v>150</v>
      </c>
      <c r="E7" t="s">
        <v>153</v>
      </c>
      <c r="F7" s="2">
        <v>9092018</v>
      </c>
      <c r="G7" t="s">
        <v>144</v>
      </c>
      <c r="H7">
        <v>250000</v>
      </c>
    </row>
    <row r="8" spans="1:8">
      <c r="A8">
        <v>7</v>
      </c>
      <c r="B8" t="s">
        <v>154</v>
      </c>
      <c r="C8">
        <v>6</v>
      </c>
      <c r="D8" t="s">
        <v>142</v>
      </c>
      <c r="E8" t="s">
        <v>143</v>
      </c>
      <c r="F8" s="2">
        <v>14062024</v>
      </c>
      <c r="G8" t="s">
        <v>144</v>
      </c>
      <c r="H8">
        <v>2000</v>
      </c>
    </row>
    <row r="9" spans="1:8">
      <c r="A9">
        <v>8</v>
      </c>
      <c r="B9" t="s">
        <v>155</v>
      </c>
      <c r="C9">
        <v>7</v>
      </c>
      <c r="D9" t="s">
        <v>146</v>
      </c>
      <c r="E9" t="s">
        <v>143</v>
      </c>
      <c r="F9" s="2">
        <v>27012020</v>
      </c>
      <c r="G9" t="s">
        <v>144</v>
      </c>
      <c r="H9">
        <v>0</v>
      </c>
    </row>
    <row r="10" spans="1:8">
      <c r="A10">
        <v>9</v>
      </c>
      <c r="B10" t="s">
        <v>156</v>
      </c>
      <c r="C10">
        <v>8</v>
      </c>
      <c r="D10" t="s">
        <v>150</v>
      </c>
      <c r="E10" t="s">
        <v>143</v>
      </c>
      <c r="F10" s="2">
        <v>3042022</v>
      </c>
      <c r="G10" t="s">
        <v>144</v>
      </c>
      <c r="H10">
        <v>75000</v>
      </c>
    </row>
    <row r="11" spans="1:8">
      <c r="A11">
        <v>10</v>
      </c>
      <c r="B11" t="s">
        <v>157</v>
      </c>
      <c r="C11">
        <v>9</v>
      </c>
      <c r="D11" t="s">
        <v>142</v>
      </c>
      <c r="E11" t="s">
        <v>143</v>
      </c>
      <c r="F11" s="2">
        <v>11082021</v>
      </c>
      <c r="G11" t="s">
        <v>158</v>
      </c>
      <c r="H1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0C70-C686-4689-9650-6B54CFCFD523}">
  <dimension ref="A1:I11"/>
  <sheetViews>
    <sheetView workbookViewId="0">
      <selection sqref="A1:I11"/>
    </sheetView>
  </sheetViews>
  <sheetFormatPr defaultRowHeight="15"/>
  <cols>
    <col min="1" max="1" width="18.42578125" customWidth="1"/>
    <col min="2" max="2" width="18.5703125" customWidth="1"/>
    <col min="3" max="3" width="22" bestFit="1" customWidth="1"/>
    <col min="4" max="4" width="18.85546875" customWidth="1"/>
    <col min="5" max="5" width="21.7109375" bestFit="1" customWidth="1"/>
    <col min="6" max="6" width="18.5703125" customWidth="1"/>
    <col min="7" max="7" width="18.7109375" customWidth="1"/>
    <col min="8" max="8" width="18.28515625" customWidth="1"/>
    <col min="9" max="9" width="18" customWidth="1"/>
  </cols>
  <sheetData>
    <row r="1" spans="1:9">
      <c r="A1" s="1" t="s">
        <v>43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137</v>
      </c>
      <c r="H1" s="1" t="s">
        <v>164</v>
      </c>
      <c r="I1" s="1" t="s">
        <v>97</v>
      </c>
    </row>
    <row r="2" spans="1:9">
      <c r="A2">
        <v>1</v>
      </c>
      <c r="B2" t="s">
        <v>165</v>
      </c>
      <c r="C2" t="s">
        <v>166</v>
      </c>
      <c r="D2" t="s">
        <v>167</v>
      </c>
      <c r="E2" t="s">
        <v>142</v>
      </c>
      <c r="F2" t="s">
        <v>168</v>
      </c>
      <c r="G2" t="s">
        <v>143</v>
      </c>
      <c r="H2" t="s">
        <v>104</v>
      </c>
      <c r="I2" t="s">
        <v>72</v>
      </c>
    </row>
    <row r="3" spans="1:9">
      <c r="A3">
        <v>2</v>
      </c>
      <c r="B3" t="s">
        <v>169</v>
      </c>
      <c r="C3" t="s">
        <v>170</v>
      </c>
      <c r="D3" t="s">
        <v>167</v>
      </c>
      <c r="E3" t="s">
        <v>146</v>
      </c>
      <c r="F3" t="s">
        <v>171</v>
      </c>
      <c r="G3" t="s">
        <v>143</v>
      </c>
      <c r="H3" t="s">
        <v>104</v>
      </c>
      <c r="I3" t="s">
        <v>72</v>
      </c>
    </row>
    <row r="4" spans="1:9">
      <c r="A4">
        <v>3</v>
      </c>
      <c r="B4" t="s">
        <v>172</v>
      </c>
      <c r="C4" t="s">
        <v>173</v>
      </c>
      <c r="D4" t="s">
        <v>167</v>
      </c>
      <c r="E4" t="s">
        <v>142</v>
      </c>
      <c r="F4" t="s">
        <v>168</v>
      </c>
      <c r="G4" t="s">
        <v>148</v>
      </c>
      <c r="H4" t="s">
        <v>104</v>
      </c>
      <c r="I4" t="s">
        <v>72</v>
      </c>
    </row>
    <row r="5" spans="1:9">
      <c r="A5">
        <v>4</v>
      </c>
      <c r="B5" t="s">
        <v>174</v>
      </c>
      <c r="C5" t="s">
        <v>175</v>
      </c>
      <c r="D5" t="s">
        <v>176</v>
      </c>
      <c r="E5" t="s">
        <v>177</v>
      </c>
      <c r="F5" t="s">
        <v>171</v>
      </c>
      <c r="G5" t="s">
        <v>143</v>
      </c>
      <c r="H5" t="s">
        <v>116</v>
      </c>
      <c r="I5" t="s">
        <v>72</v>
      </c>
    </row>
    <row r="6" spans="1:9">
      <c r="A6">
        <v>5</v>
      </c>
      <c r="B6" t="s">
        <v>178</v>
      </c>
      <c r="C6" t="s">
        <v>179</v>
      </c>
      <c r="D6" t="s">
        <v>176</v>
      </c>
      <c r="E6" t="s">
        <v>177</v>
      </c>
      <c r="F6" t="s">
        <v>171</v>
      </c>
      <c r="G6" t="s">
        <v>143</v>
      </c>
      <c r="H6" t="s">
        <v>116</v>
      </c>
      <c r="I6" t="s">
        <v>72</v>
      </c>
    </row>
    <row r="7" spans="1:9">
      <c r="A7">
        <v>6</v>
      </c>
      <c r="B7" t="s">
        <v>180</v>
      </c>
      <c r="C7" t="s">
        <v>181</v>
      </c>
      <c r="D7" t="s">
        <v>176</v>
      </c>
      <c r="E7" t="s">
        <v>182</v>
      </c>
      <c r="F7" t="s">
        <v>171</v>
      </c>
      <c r="G7" t="s">
        <v>143</v>
      </c>
      <c r="H7" t="s">
        <v>116</v>
      </c>
      <c r="I7" t="s">
        <v>72</v>
      </c>
    </row>
    <row r="8" spans="1:9">
      <c r="A8">
        <v>7</v>
      </c>
      <c r="B8" t="s">
        <v>183</v>
      </c>
      <c r="C8" t="s">
        <v>184</v>
      </c>
      <c r="D8" t="s">
        <v>176</v>
      </c>
      <c r="E8" t="s">
        <v>185</v>
      </c>
      <c r="F8" t="s">
        <v>186</v>
      </c>
      <c r="G8" t="s">
        <v>143</v>
      </c>
      <c r="H8" t="s">
        <v>131</v>
      </c>
      <c r="I8" t="s">
        <v>72</v>
      </c>
    </row>
    <row r="9" spans="1:9">
      <c r="A9">
        <v>8</v>
      </c>
      <c r="B9" t="s">
        <v>187</v>
      </c>
      <c r="C9" t="s">
        <v>188</v>
      </c>
      <c r="D9" t="s">
        <v>189</v>
      </c>
      <c r="E9" t="s">
        <v>190</v>
      </c>
      <c r="F9" t="s">
        <v>186</v>
      </c>
      <c r="G9" t="s">
        <v>143</v>
      </c>
      <c r="H9" t="s">
        <v>116</v>
      </c>
      <c r="I9" t="s">
        <v>72</v>
      </c>
    </row>
    <row r="10" spans="1:9">
      <c r="A10">
        <v>9</v>
      </c>
      <c r="B10" t="s">
        <v>191</v>
      </c>
      <c r="C10" t="s">
        <v>192</v>
      </c>
      <c r="D10" t="s">
        <v>189</v>
      </c>
      <c r="E10" t="s">
        <v>190</v>
      </c>
      <c r="F10" t="s">
        <v>186</v>
      </c>
      <c r="G10" t="s">
        <v>143</v>
      </c>
      <c r="H10" t="s">
        <v>116</v>
      </c>
      <c r="I10" t="s">
        <v>72</v>
      </c>
    </row>
    <row r="11" spans="1:9">
      <c r="A11">
        <v>10</v>
      </c>
      <c r="B11" t="s">
        <v>193</v>
      </c>
      <c r="C11" t="s">
        <v>194</v>
      </c>
      <c r="D11" t="s">
        <v>195</v>
      </c>
      <c r="E11" t="s">
        <v>196</v>
      </c>
      <c r="F11" t="s">
        <v>168</v>
      </c>
      <c r="G11" t="s">
        <v>143</v>
      </c>
      <c r="H11" t="s">
        <v>116</v>
      </c>
      <c r="I11" t="s">
        <v>72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E64CE-2FE0-40D3-8200-DDC7C7D54F0C}">
  <dimension ref="A1:G10"/>
  <sheetViews>
    <sheetView workbookViewId="0">
      <selection activeCell="E13" sqref="E13"/>
    </sheetView>
  </sheetViews>
  <sheetFormatPr defaultRowHeight="15"/>
  <cols>
    <col min="1" max="1" width="19.140625" customWidth="1"/>
    <col min="2" max="2" width="18.7109375" customWidth="1"/>
    <col min="3" max="3" width="21.85546875" bestFit="1" customWidth="1"/>
    <col min="4" max="4" width="18.42578125" customWidth="1"/>
    <col min="5" max="5" width="18.7109375" customWidth="1"/>
    <col min="6" max="6" width="18.5703125" customWidth="1"/>
    <col min="7" max="7" width="10.42578125" bestFit="1" customWidth="1"/>
  </cols>
  <sheetData>
    <row r="1" spans="1:7">
      <c r="A1" s="1" t="s">
        <v>5</v>
      </c>
      <c r="B1" s="1" t="s">
        <v>197</v>
      </c>
      <c r="C1" s="1" t="s">
        <v>198</v>
      </c>
      <c r="D1" s="1" t="s">
        <v>92</v>
      </c>
      <c r="E1" s="1" t="s">
        <v>93</v>
      </c>
      <c r="F1" s="1" t="s">
        <v>199</v>
      </c>
      <c r="G1" s="1" t="s">
        <v>97</v>
      </c>
    </row>
    <row r="2" spans="1:7">
      <c r="A2">
        <f>_xlfn.NUMBERVALUE(RIGHT(DimBranch[[#This Row],[BranchCode]], LEN(DimBranch[[#This Row],[BranchCode]]) - 2), ",", ".")</f>
        <v>1</v>
      </c>
      <c r="B2" t="s">
        <v>200</v>
      </c>
      <c r="C2" t="s">
        <v>201</v>
      </c>
      <c r="D2" t="s">
        <v>101</v>
      </c>
      <c r="E2" t="s">
        <v>102</v>
      </c>
      <c r="F2" t="s">
        <v>111</v>
      </c>
      <c r="G2" t="s">
        <v>72</v>
      </c>
    </row>
    <row r="3" spans="1:7">
      <c r="A3">
        <f>_xlfn.NUMBERVALUE(RIGHT(DimBranch[[#This Row],[BranchCode]], LEN(DimBranch[[#This Row],[BranchCode]]) - 2), ",", ".")</f>
        <v>2</v>
      </c>
      <c r="B3" t="s">
        <v>202</v>
      </c>
      <c r="C3" t="s">
        <v>203</v>
      </c>
      <c r="D3" t="s">
        <v>101</v>
      </c>
      <c r="E3" t="s">
        <v>102</v>
      </c>
      <c r="F3" t="s">
        <v>99</v>
      </c>
      <c r="G3" t="s">
        <v>72</v>
      </c>
    </row>
    <row r="4" spans="1:7">
      <c r="A4">
        <f>_xlfn.NUMBERVALUE(RIGHT(DimBranch[[#This Row],[BranchCode]], LEN(DimBranch[[#This Row],[BranchCode]]) - 2), ",", ".")</f>
        <v>3</v>
      </c>
      <c r="B4" t="s">
        <v>204</v>
      </c>
      <c r="C4" t="s">
        <v>205</v>
      </c>
      <c r="D4" t="s">
        <v>107</v>
      </c>
      <c r="E4" t="s">
        <v>108</v>
      </c>
      <c r="F4" t="s">
        <v>206</v>
      </c>
      <c r="G4" t="s">
        <v>72</v>
      </c>
    </row>
    <row r="5" spans="1:7">
      <c r="A5">
        <f>_xlfn.NUMBERVALUE(RIGHT(DimBranch[[#This Row],[BranchCode]], LEN(DimBranch[[#This Row],[BranchCode]]) - 2), ",", ".")</f>
        <v>4</v>
      </c>
      <c r="B5" t="s">
        <v>207</v>
      </c>
      <c r="C5" t="s">
        <v>208</v>
      </c>
      <c r="D5" t="s">
        <v>113</v>
      </c>
      <c r="E5" t="s">
        <v>114</v>
      </c>
      <c r="F5" t="s">
        <v>206</v>
      </c>
      <c r="G5" t="s">
        <v>72</v>
      </c>
    </row>
    <row r="6" spans="1:7">
      <c r="A6">
        <f>_xlfn.NUMBERVALUE(RIGHT(DimBranch[[#This Row],[BranchCode]], LEN(DimBranch[[#This Row],[BranchCode]]) - 2), ",", ".")</f>
        <v>5</v>
      </c>
      <c r="B6" t="s">
        <v>209</v>
      </c>
      <c r="C6" t="s">
        <v>210</v>
      </c>
      <c r="D6" t="s">
        <v>118</v>
      </c>
      <c r="E6" t="s">
        <v>102</v>
      </c>
      <c r="F6" t="s">
        <v>99</v>
      </c>
      <c r="G6" t="s">
        <v>72</v>
      </c>
    </row>
    <row r="7" spans="1:7">
      <c r="A7">
        <f>_xlfn.NUMBERVALUE(RIGHT(DimBranch[[#This Row],[BranchCode]], LEN(DimBranch[[#This Row],[BranchCode]]) - 2), ",", ".")</f>
        <v>6</v>
      </c>
      <c r="B7" t="s">
        <v>211</v>
      </c>
      <c r="C7" t="s">
        <v>212</v>
      </c>
      <c r="D7" t="s">
        <v>126</v>
      </c>
      <c r="E7" t="s">
        <v>127</v>
      </c>
      <c r="F7" t="s">
        <v>99</v>
      </c>
      <c r="G7" t="s">
        <v>72</v>
      </c>
    </row>
    <row r="8" spans="1:7">
      <c r="A8">
        <f>_xlfn.NUMBERVALUE(RIGHT(DimBranch[[#This Row],[BranchCode]], LEN(DimBranch[[#This Row],[BranchCode]]) - 2), ",", ".")</f>
        <v>7</v>
      </c>
      <c r="B8" t="s">
        <v>213</v>
      </c>
      <c r="C8" t="s">
        <v>214</v>
      </c>
      <c r="D8" t="s">
        <v>129</v>
      </c>
      <c r="E8" t="s">
        <v>108</v>
      </c>
      <c r="F8" t="s">
        <v>111</v>
      </c>
      <c r="G8" t="s">
        <v>72</v>
      </c>
    </row>
    <row r="9" spans="1:7">
      <c r="A9">
        <f>_xlfn.NUMBERVALUE(RIGHT(DimBranch[[#This Row],[BranchCode]], LEN(DimBranch[[#This Row],[BranchCode]]) - 2), ",", ".")</f>
        <v>8</v>
      </c>
      <c r="B9" t="s">
        <v>215</v>
      </c>
      <c r="C9" t="s">
        <v>216</v>
      </c>
      <c r="D9" t="s">
        <v>133</v>
      </c>
      <c r="E9" t="s">
        <v>127</v>
      </c>
      <c r="F9" t="s">
        <v>206</v>
      </c>
      <c r="G9" t="s">
        <v>72</v>
      </c>
    </row>
    <row r="10" spans="1:7">
      <c r="A10" s="4">
        <v>9</v>
      </c>
      <c r="B10" t="s">
        <v>217</v>
      </c>
      <c r="C10" t="s">
        <v>218</v>
      </c>
      <c r="D10" s="3" t="s">
        <v>219</v>
      </c>
      <c r="E10" s="3" t="s">
        <v>219</v>
      </c>
      <c r="F10" t="s">
        <v>220</v>
      </c>
      <c r="G10" t="s">
        <v>72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8803-3659-479C-BF84-F23261A7CFD5}">
  <dimension ref="A1:F8"/>
  <sheetViews>
    <sheetView workbookViewId="0">
      <selection sqref="A1:F8"/>
    </sheetView>
  </sheetViews>
  <sheetFormatPr defaultRowHeight="15"/>
  <cols>
    <col min="1" max="1" width="18.5703125" customWidth="1"/>
    <col min="2" max="2" width="18.85546875" customWidth="1"/>
    <col min="3" max="3" width="18.5703125" customWidth="1"/>
    <col min="4" max="4" width="18.85546875" customWidth="1"/>
    <col min="5" max="5" width="18.140625" customWidth="1"/>
    <col min="6" max="6" width="10.42578125" bestFit="1" customWidth="1"/>
  </cols>
  <sheetData>
    <row r="1" spans="1:6">
      <c r="A1" s="1" t="s">
        <v>6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97</v>
      </c>
    </row>
    <row r="2" spans="1:6">
      <c r="A2">
        <v>1</v>
      </c>
      <c r="B2" t="s">
        <v>225</v>
      </c>
      <c r="C2" t="s">
        <v>226</v>
      </c>
      <c r="D2" t="s">
        <v>220</v>
      </c>
      <c r="E2" t="s">
        <v>72</v>
      </c>
      <c r="F2" t="s">
        <v>72</v>
      </c>
    </row>
    <row r="3" spans="1:6">
      <c r="A3">
        <v>2</v>
      </c>
      <c r="B3" t="s">
        <v>227</v>
      </c>
      <c r="C3" t="s">
        <v>228</v>
      </c>
      <c r="D3" t="s">
        <v>220</v>
      </c>
      <c r="E3" t="s">
        <v>72</v>
      </c>
      <c r="F3" t="s">
        <v>72</v>
      </c>
    </row>
    <row r="4" spans="1:6">
      <c r="A4">
        <v>3</v>
      </c>
      <c r="B4" t="s">
        <v>229</v>
      </c>
      <c r="C4" t="s">
        <v>230</v>
      </c>
      <c r="D4" t="s">
        <v>231</v>
      </c>
      <c r="E4" t="s">
        <v>71</v>
      </c>
      <c r="F4" t="s">
        <v>72</v>
      </c>
    </row>
    <row r="5" spans="1:6">
      <c r="A5">
        <v>4</v>
      </c>
      <c r="B5" t="s">
        <v>232</v>
      </c>
      <c r="C5" t="s">
        <v>233</v>
      </c>
      <c r="D5" t="s">
        <v>234</v>
      </c>
      <c r="E5" t="s">
        <v>71</v>
      </c>
      <c r="F5" t="s">
        <v>72</v>
      </c>
    </row>
    <row r="6" spans="1:6">
      <c r="A6">
        <v>5</v>
      </c>
      <c r="B6" t="s">
        <v>235</v>
      </c>
      <c r="C6" t="s">
        <v>236</v>
      </c>
      <c r="D6" t="s">
        <v>237</v>
      </c>
      <c r="E6" t="s">
        <v>71</v>
      </c>
      <c r="F6" t="s">
        <v>72</v>
      </c>
    </row>
    <row r="7" spans="1:6">
      <c r="A7">
        <v>6</v>
      </c>
      <c r="B7" t="s">
        <v>238</v>
      </c>
      <c r="C7" t="s">
        <v>239</v>
      </c>
      <c r="D7" t="s">
        <v>240</v>
      </c>
      <c r="E7" t="s">
        <v>71</v>
      </c>
      <c r="F7" t="s">
        <v>72</v>
      </c>
    </row>
    <row r="8" spans="1:6">
      <c r="A8">
        <v>7</v>
      </c>
      <c r="B8" t="s">
        <v>241</v>
      </c>
      <c r="C8" t="s">
        <v>242</v>
      </c>
      <c r="D8" t="s">
        <v>220</v>
      </c>
      <c r="E8" t="s">
        <v>72</v>
      </c>
      <c r="F8" t="s">
        <v>72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4C2B-49EC-46A0-8728-DA4DC8A35393}">
  <dimension ref="A1:G7"/>
  <sheetViews>
    <sheetView workbookViewId="0">
      <selection activeCell="E10" sqref="E10"/>
    </sheetView>
  </sheetViews>
  <sheetFormatPr defaultRowHeight="15"/>
  <cols>
    <col min="1" max="1" width="18.7109375" customWidth="1"/>
    <col min="2" max="2" width="18.42578125" customWidth="1"/>
    <col min="3" max="4" width="18.5703125" customWidth="1"/>
    <col min="5" max="6" width="18.7109375" customWidth="1"/>
    <col min="7" max="7" width="10.42578125" bestFit="1" customWidth="1"/>
  </cols>
  <sheetData>
    <row r="1" spans="1:7">
      <c r="A1" s="1" t="s">
        <v>8</v>
      </c>
      <c r="B1" s="1" t="s">
        <v>137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97</v>
      </c>
    </row>
    <row r="2" spans="1:7">
      <c r="A2">
        <v>1</v>
      </c>
      <c r="B2" t="s">
        <v>143</v>
      </c>
      <c r="C2" t="s">
        <v>247</v>
      </c>
      <c r="D2" t="s">
        <v>248</v>
      </c>
      <c r="E2" t="s">
        <v>249</v>
      </c>
      <c r="F2" t="s">
        <v>72</v>
      </c>
      <c r="G2" t="s">
        <v>72</v>
      </c>
    </row>
    <row r="3" spans="1:7">
      <c r="A3">
        <v>2</v>
      </c>
      <c r="B3" t="s">
        <v>148</v>
      </c>
      <c r="C3" t="s">
        <v>250</v>
      </c>
      <c r="D3" t="s">
        <v>251</v>
      </c>
      <c r="E3" t="s">
        <v>249</v>
      </c>
      <c r="F3" t="s">
        <v>71</v>
      </c>
      <c r="G3" t="s">
        <v>72</v>
      </c>
    </row>
    <row r="4" spans="1:7">
      <c r="A4">
        <v>3</v>
      </c>
      <c r="B4" t="s">
        <v>153</v>
      </c>
      <c r="C4" t="s">
        <v>252</v>
      </c>
      <c r="D4" t="s">
        <v>253</v>
      </c>
      <c r="E4" t="s">
        <v>249</v>
      </c>
      <c r="F4" t="s">
        <v>71</v>
      </c>
      <c r="G4" t="s">
        <v>72</v>
      </c>
    </row>
    <row r="5" spans="1:7">
      <c r="A5">
        <v>4</v>
      </c>
      <c r="B5" t="s">
        <v>254</v>
      </c>
      <c r="C5" t="s">
        <v>255</v>
      </c>
      <c r="D5" t="s">
        <v>256</v>
      </c>
      <c r="E5" t="s">
        <v>249</v>
      </c>
      <c r="F5" t="s">
        <v>71</v>
      </c>
      <c r="G5" t="s">
        <v>72</v>
      </c>
    </row>
    <row r="6" spans="1:7">
      <c r="A6">
        <v>5</v>
      </c>
      <c r="B6" t="s">
        <v>257</v>
      </c>
      <c r="C6" t="s">
        <v>258</v>
      </c>
      <c r="D6" t="s">
        <v>257</v>
      </c>
      <c r="E6" t="s">
        <v>249</v>
      </c>
      <c r="F6" t="s">
        <v>71</v>
      </c>
      <c r="G6" t="s">
        <v>72</v>
      </c>
    </row>
    <row r="7" spans="1:7">
      <c r="A7">
        <v>6</v>
      </c>
      <c r="B7" t="s">
        <v>259</v>
      </c>
      <c r="C7" t="s">
        <v>260</v>
      </c>
      <c r="D7" t="s">
        <v>259</v>
      </c>
      <c r="E7" t="s">
        <v>261</v>
      </c>
      <c r="F7" t="s">
        <v>71</v>
      </c>
      <c r="G7" t="s">
        <v>72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0CEB-2B0F-4E80-911C-0B47FC209BCB}">
  <dimension ref="A1:G13"/>
  <sheetViews>
    <sheetView workbookViewId="0">
      <selection sqref="A1:G13"/>
    </sheetView>
  </sheetViews>
  <sheetFormatPr defaultRowHeight="15"/>
  <cols>
    <col min="1" max="1" width="21.7109375" bestFit="1" customWidth="1"/>
    <col min="2" max="2" width="18.42578125" customWidth="1"/>
    <col min="3" max="3" width="19.28515625" bestFit="1" customWidth="1"/>
    <col min="4" max="4" width="19.7109375" bestFit="1" customWidth="1"/>
    <col min="5" max="5" width="18.5703125" customWidth="1"/>
    <col min="6" max="6" width="18.42578125" customWidth="1"/>
    <col min="7" max="7" width="18.7109375" customWidth="1"/>
  </cols>
  <sheetData>
    <row r="1" spans="1:7">
      <c r="A1" s="1" t="s">
        <v>7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97</v>
      </c>
    </row>
    <row r="2" spans="1:7">
      <c r="A2">
        <v>1</v>
      </c>
      <c r="B2" t="s">
        <v>267</v>
      </c>
      <c r="C2" t="s">
        <v>268</v>
      </c>
      <c r="D2" t="s">
        <v>269</v>
      </c>
      <c r="E2" t="s">
        <v>270</v>
      </c>
      <c r="F2" t="s">
        <v>72</v>
      </c>
      <c r="G2" t="s">
        <v>72</v>
      </c>
    </row>
    <row r="3" spans="1:7">
      <c r="A3">
        <v>2</v>
      </c>
      <c r="B3" t="s">
        <v>271</v>
      </c>
      <c r="C3" t="s">
        <v>272</v>
      </c>
      <c r="D3" t="s">
        <v>269</v>
      </c>
      <c r="E3" t="s">
        <v>270</v>
      </c>
      <c r="F3" t="s">
        <v>72</v>
      </c>
      <c r="G3" t="s">
        <v>72</v>
      </c>
    </row>
    <row r="4" spans="1:7">
      <c r="A4">
        <v>3</v>
      </c>
      <c r="B4" t="s">
        <v>273</v>
      </c>
      <c r="C4" t="s">
        <v>274</v>
      </c>
      <c r="D4" t="s">
        <v>269</v>
      </c>
      <c r="E4" t="s">
        <v>270</v>
      </c>
      <c r="F4" t="s">
        <v>72</v>
      </c>
      <c r="G4" t="s">
        <v>72</v>
      </c>
    </row>
    <row r="5" spans="1:7">
      <c r="A5">
        <v>4</v>
      </c>
      <c r="B5" t="s">
        <v>275</v>
      </c>
      <c r="C5" t="s">
        <v>276</v>
      </c>
      <c r="D5" t="s">
        <v>269</v>
      </c>
      <c r="E5" t="s">
        <v>277</v>
      </c>
      <c r="F5" t="s">
        <v>71</v>
      </c>
      <c r="G5" t="s">
        <v>72</v>
      </c>
    </row>
    <row r="6" spans="1:7">
      <c r="A6">
        <v>5</v>
      </c>
      <c r="B6" t="s">
        <v>278</v>
      </c>
      <c r="C6" t="s">
        <v>279</v>
      </c>
      <c r="D6" t="s">
        <v>280</v>
      </c>
      <c r="E6" t="s">
        <v>270</v>
      </c>
      <c r="F6" t="s">
        <v>71</v>
      </c>
      <c r="G6" t="s">
        <v>72</v>
      </c>
    </row>
    <row r="7" spans="1:7">
      <c r="A7">
        <v>6</v>
      </c>
      <c r="B7" t="s">
        <v>281</v>
      </c>
      <c r="C7" t="s">
        <v>282</v>
      </c>
      <c r="D7" t="s">
        <v>280</v>
      </c>
      <c r="E7" t="s">
        <v>277</v>
      </c>
      <c r="F7" t="s">
        <v>71</v>
      </c>
      <c r="G7" t="s">
        <v>72</v>
      </c>
    </row>
    <row r="8" spans="1:7">
      <c r="A8">
        <v>7</v>
      </c>
      <c r="B8" t="s">
        <v>283</v>
      </c>
      <c r="C8" t="s">
        <v>284</v>
      </c>
      <c r="D8" t="s">
        <v>285</v>
      </c>
      <c r="E8" t="s">
        <v>270</v>
      </c>
      <c r="F8" t="s">
        <v>71</v>
      </c>
      <c r="G8" t="s">
        <v>72</v>
      </c>
    </row>
    <row r="9" spans="1:7">
      <c r="A9">
        <v>8</v>
      </c>
      <c r="B9" t="s">
        <v>286</v>
      </c>
      <c r="C9" t="s">
        <v>287</v>
      </c>
      <c r="D9" t="s">
        <v>237</v>
      </c>
      <c r="E9" t="s">
        <v>270</v>
      </c>
      <c r="F9" t="s">
        <v>71</v>
      </c>
      <c r="G9" t="s">
        <v>72</v>
      </c>
    </row>
    <row r="10" spans="1:7">
      <c r="A10">
        <v>9</v>
      </c>
      <c r="B10" t="s">
        <v>288</v>
      </c>
      <c r="C10" t="s">
        <v>289</v>
      </c>
      <c r="D10" t="s">
        <v>176</v>
      </c>
      <c r="E10" t="s">
        <v>270</v>
      </c>
      <c r="F10" t="s">
        <v>71</v>
      </c>
      <c r="G10" t="s">
        <v>72</v>
      </c>
    </row>
    <row r="11" spans="1:7">
      <c r="A11">
        <v>10</v>
      </c>
      <c r="B11" t="s">
        <v>290</v>
      </c>
      <c r="C11" t="s">
        <v>291</v>
      </c>
      <c r="D11" t="s">
        <v>167</v>
      </c>
      <c r="E11" t="s">
        <v>277</v>
      </c>
      <c r="F11" t="s">
        <v>71</v>
      </c>
      <c r="G11" t="s">
        <v>72</v>
      </c>
    </row>
    <row r="12" spans="1:7">
      <c r="A12">
        <v>11</v>
      </c>
      <c r="B12" t="s">
        <v>292</v>
      </c>
      <c r="C12" t="s">
        <v>293</v>
      </c>
      <c r="D12" t="s">
        <v>294</v>
      </c>
      <c r="E12" t="s">
        <v>270</v>
      </c>
      <c r="F12" t="s">
        <v>72</v>
      </c>
      <c r="G12" t="s">
        <v>72</v>
      </c>
    </row>
    <row r="13" spans="1:7">
      <c r="A13">
        <v>12</v>
      </c>
      <c r="B13" t="s">
        <v>295</v>
      </c>
      <c r="C13" t="s">
        <v>296</v>
      </c>
      <c r="D13" t="s">
        <v>176</v>
      </c>
      <c r="E13" t="s">
        <v>277</v>
      </c>
      <c r="F13" t="s">
        <v>71</v>
      </c>
      <c r="G13" t="s">
        <v>72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F1AF-E465-4823-A75A-F0B80AD56905}">
  <dimension ref="A1:K9"/>
  <sheetViews>
    <sheetView workbookViewId="0">
      <selection sqref="A1:K9"/>
    </sheetView>
  </sheetViews>
  <sheetFormatPr defaultRowHeight="15"/>
  <cols>
    <col min="1" max="3" width="18.5703125" customWidth="1"/>
    <col min="4" max="4" width="18.42578125" customWidth="1"/>
    <col min="5" max="5" width="19.28515625" bestFit="1" customWidth="1"/>
    <col min="6" max="6" width="18.28515625" customWidth="1"/>
    <col min="7" max="7" width="18.5703125" customWidth="1"/>
    <col min="8" max="8" width="18.28515625" customWidth="1"/>
    <col min="9" max="9" width="18.7109375" customWidth="1"/>
    <col min="10" max="10" width="19.140625" customWidth="1"/>
    <col min="11" max="11" width="13.28515625" bestFit="1" customWidth="1"/>
  </cols>
  <sheetData>
    <row r="1" spans="1:11">
      <c r="A1" s="1" t="s">
        <v>42</v>
      </c>
      <c r="B1" s="1" t="s">
        <v>297</v>
      </c>
      <c r="C1" s="1" t="s">
        <v>3</v>
      </c>
      <c r="D1" s="1" t="s">
        <v>43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</row>
    <row r="2" spans="1:11">
      <c r="A2">
        <v>1</v>
      </c>
      <c r="B2" t="s">
        <v>305</v>
      </c>
      <c r="C2">
        <v>1</v>
      </c>
      <c r="D2">
        <v>4</v>
      </c>
      <c r="E2" t="s">
        <v>175</v>
      </c>
      <c r="F2" s="2">
        <v>15012025</v>
      </c>
      <c r="G2" s="2">
        <v>15012027</v>
      </c>
      <c r="H2">
        <v>150000</v>
      </c>
      <c r="I2">
        <v>3.49</v>
      </c>
      <c r="J2">
        <v>24</v>
      </c>
      <c r="K2" t="s">
        <v>144</v>
      </c>
    </row>
    <row r="3" spans="1:11">
      <c r="A3">
        <v>2</v>
      </c>
      <c r="B3" t="s">
        <v>306</v>
      </c>
      <c r="C3">
        <v>2</v>
      </c>
      <c r="D3">
        <v>6</v>
      </c>
      <c r="E3" t="s">
        <v>181</v>
      </c>
      <c r="F3" s="2">
        <v>10062023</v>
      </c>
      <c r="G3" s="2">
        <v>10062033</v>
      </c>
      <c r="H3">
        <v>2500000</v>
      </c>
      <c r="I3">
        <v>2.89</v>
      </c>
      <c r="J3">
        <v>120</v>
      </c>
      <c r="K3" t="s">
        <v>144</v>
      </c>
    </row>
    <row r="4" spans="1:11">
      <c r="A4">
        <v>3</v>
      </c>
      <c r="B4" t="s">
        <v>307</v>
      </c>
      <c r="C4">
        <v>3</v>
      </c>
      <c r="D4">
        <v>7</v>
      </c>
      <c r="E4" t="s">
        <v>184</v>
      </c>
      <c r="F4" s="2">
        <v>20092024</v>
      </c>
      <c r="G4" s="2">
        <v>20092027</v>
      </c>
      <c r="H4">
        <v>1800000</v>
      </c>
      <c r="I4">
        <v>4.1500000000000004</v>
      </c>
      <c r="J4">
        <v>36</v>
      </c>
      <c r="K4" t="s">
        <v>144</v>
      </c>
    </row>
    <row r="5" spans="1:11">
      <c r="A5">
        <v>4</v>
      </c>
      <c r="B5" t="s">
        <v>308</v>
      </c>
      <c r="C5">
        <v>4</v>
      </c>
      <c r="D5">
        <v>5</v>
      </c>
      <c r="E5" t="s">
        <v>179</v>
      </c>
      <c r="F5" s="2">
        <v>5032025</v>
      </c>
      <c r="G5" s="2">
        <v>5032028</v>
      </c>
      <c r="H5">
        <v>900000</v>
      </c>
      <c r="I5">
        <v>3.25</v>
      </c>
      <c r="J5">
        <v>36</v>
      </c>
      <c r="K5" t="s">
        <v>144</v>
      </c>
    </row>
    <row r="6" spans="1:11">
      <c r="A6">
        <v>5</v>
      </c>
      <c r="B6" t="s">
        <v>309</v>
      </c>
      <c r="C6">
        <v>5</v>
      </c>
      <c r="D6">
        <v>7</v>
      </c>
      <c r="E6" t="s">
        <v>184</v>
      </c>
      <c r="F6" s="2">
        <v>12112023</v>
      </c>
      <c r="G6" s="2">
        <v>12112026</v>
      </c>
      <c r="H6">
        <v>3500000</v>
      </c>
      <c r="I6">
        <v>4.05</v>
      </c>
      <c r="J6">
        <v>36</v>
      </c>
      <c r="K6" t="s">
        <v>144</v>
      </c>
    </row>
    <row r="7" spans="1:11">
      <c r="A7">
        <v>6</v>
      </c>
      <c r="B7" t="s">
        <v>310</v>
      </c>
      <c r="C7">
        <v>6</v>
      </c>
      <c r="D7">
        <v>4</v>
      </c>
      <c r="E7" t="s">
        <v>175</v>
      </c>
      <c r="F7" s="2">
        <v>1072025</v>
      </c>
      <c r="G7" s="2">
        <v>1072026</v>
      </c>
      <c r="H7">
        <v>75000</v>
      </c>
      <c r="I7">
        <v>3.75</v>
      </c>
      <c r="J7">
        <v>12</v>
      </c>
      <c r="K7" t="s">
        <v>311</v>
      </c>
    </row>
    <row r="8" spans="1:11">
      <c r="A8">
        <v>7</v>
      </c>
      <c r="B8" t="s">
        <v>312</v>
      </c>
      <c r="C8">
        <v>7</v>
      </c>
      <c r="D8">
        <v>6</v>
      </c>
      <c r="E8" t="s">
        <v>181</v>
      </c>
      <c r="F8" s="2">
        <v>18022022</v>
      </c>
      <c r="G8" s="2">
        <v>18022032</v>
      </c>
      <c r="H8">
        <v>1900000</v>
      </c>
      <c r="I8">
        <v>2.65</v>
      </c>
      <c r="J8">
        <v>120</v>
      </c>
      <c r="K8" t="s">
        <v>144</v>
      </c>
    </row>
    <row r="9" spans="1:11">
      <c r="A9">
        <v>8</v>
      </c>
      <c r="B9" t="s">
        <v>313</v>
      </c>
      <c r="C9">
        <v>8</v>
      </c>
      <c r="D9">
        <v>7</v>
      </c>
      <c r="E9" t="s">
        <v>184</v>
      </c>
      <c r="F9" s="2">
        <v>3042025</v>
      </c>
      <c r="G9" s="2">
        <v>3042027</v>
      </c>
      <c r="H9">
        <v>1250000</v>
      </c>
      <c r="I9">
        <v>4.45</v>
      </c>
      <c r="J9">
        <v>24</v>
      </c>
      <c r="K9" t="s">
        <v>314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C53-7B57-4D9D-B8A3-08A6897FD8FF}">
  <dimension ref="A1:G6"/>
  <sheetViews>
    <sheetView workbookViewId="0">
      <selection sqref="A1:G6"/>
    </sheetView>
  </sheetViews>
  <sheetFormatPr defaultRowHeight="15"/>
  <cols>
    <col min="1" max="1" width="18.28515625" customWidth="1"/>
    <col min="2" max="2" width="18.85546875" customWidth="1"/>
    <col min="3" max="3" width="18.140625" customWidth="1"/>
    <col min="4" max="4" width="18.42578125" customWidth="1"/>
    <col min="5" max="5" width="18.85546875" customWidth="1"/>
    <col min="6" max="6" width="46" customWidth="1"/>
    <col min="7" max="7" width="28.140625" customWidth="1"/>
  </cols>
  <sheetData>
    <row r="1" spans="1:7">
      <c r="A1" s="1" t="s">
        <v>64</v>
      </c>
      <c r="B1" s="1" t="s">
        <v>315</v>
      </c>
      <c r="C1" s="1" t="s">
        <v>164</v>
      </c>
      <c r="D1" s="1" t="s">
        <v>316</v>
      </c>
      <c r="E1" s="1" t="s">
        <v>317</v>
      </c>
      <c r="F1" s="1" t="s">
        <v>318</v>
      </c>
      <c r="G1" s="1" t="s">
        <v>319</v>
      </c>
    </row>
    <row r="2" spans="1:7">
      <c r="A2">
        <v>1</v>
      </c>
      <c r="B2" t="s">
        <v>320</v>
      </c>
      <c r="C2" t="s">
        <v>321</v>
      </c>
      <c r="D2">
        <v>0</v>
      </c>
      <c r="E2">
        <v>0.01</v>
      </c>
      <c r="F2" t="s">
        <v>322</v>
      </c>
      <c r="G2" t="s">
        <v>323</v>
      </c>
    </row>
    <row r="3" spans="1:7">
      <c r="A3">
        <v>2</v>
      </c>
      <c r="B3" t="s">
        <v>324</v>
      </c>
      <c r="C3" t="s">
        <v>104</v>
      </c>
      <c r="D3">
        <v>0.01</v>
      </c>
      <c r="E3">
        <v>0.03</v>
      </c>
      <c r="F3" t="s">
        <v>325</v>
      </c>
      <c r="G3" t="s">
        <v>323</v>
      </c>
    </row>
    <row r="4" spans="1:7">
      <c r="A4">
        <v>3</v>
      </c>
      <c r="B4" t="s">
        <v>326</v>
      </c>
      <c r="C4" t="s">
        <v>116</v>
      </c>
      <c r="D4">
        <v>0.03</v>
      </c>
      <c r="E4">
        <v>0.08</v>
      </c>
      <c r="F4" t="s">
        <v>327</v>
      </c>
      <c r="G4" t="s">
        <v>328</v>
      </c>
    </row>
    <row r="5" spans="1:7">
      <c r="A5">
        <v>4</v>
      </c>
      <c r="B5" t="s">
        <v>329</v>
      </c>
      <c r="C5" t="s">
        <v>131</v>
      </c>
      <c r="D5">
        <v>0.08</v>
      </c>
      <c r="E5">
        <v>0.2</v>
      </c>
      <c r="F5" t="s">
        <v>330</v>
      </c>
      <c r="G5" t="s">
        <v>328</v>
      </c>
    </row>
    <row r="6" spans="1:7">
      <c r="A6">
        <v>5</v>
      </c>
      <c r="B6" t="s">
        <v>331</v>
      </c>
      <c r="C6" t="s">
        <v>332</v>
      </c>
      <c r="D6">
        <v>0.2</v>
      </c>
      <c r="E6">
        <v>1</v>
      </c>
      <c r="F6" t="s">
        <v>333</v>
      </c>
      <c r="G6" t="s">
        <v>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2026-08-16T14:42:05Z</dcterms:created>
  <dcterms:modified xsi:type="dcterms:W3CDTF">2026-08-16T16:15:19Z</dcterms:modified>
  <cp:category/>
  <cp:contentStatus/>
</cp:coreProperties>
</file>